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ne Banking" sheetId="1" r:id="rId4"/>
    <sheet state="visible" name="UpVote" sheetId="2" r:id="rId5"/>
  </sheets>
  <definedNames/>
  <calcPr/>
</workbook>
</file>

<file path=xl/sharedStrings.xml><?xml version="1.0" encoding="utf-8"?>
<sst xmlns="http://schemas.openxmlformats.org/spreadsheetml/2006/main" count="40" uniqueCount="39">
  <si>
    <t>Metrics</t>
  </si>
  <si>
    <t>Variables</t>
  </si>
  <si>
    <t>Assumptions</t>
  </si>
  <si>
    <t>Contacts</t>
  </si>
  <si>
    <t>Minutes/Call</t>
  </si>
  <si>
    <t>Calls/Hr</t>
  </si>
  <si>
    <t>Hours/Goal</t>
  </si>
  <si>
    <t>Volunteers (10 Hrs/each)</t>
  </si>
  <si>
    <t>Week 1</t>
  </si>
  <si>
    <t>Week 2</t>
  </si>
  <si>
    <t>Week 3</t>
  </si>
  <si>
    <t>Week 4</t>
  </si>
  <si>
    <t>List Size</t>
  </si>
  <si>
    <t>% Good Numbers</t>
  </si>
  <si>
    <t>Total Calls Made</t>
  </si>
  <si>
    <t xml:space="preserve">% Pick Up </t>
  </si>
  <si>
    <t>Conversations</t>
  </si>
  <si>
    <t>&gt; 90 seconds</t>
  </si>
  <si>
    <t>No</t>
  </si>
  <si>
    <t>Highest</t>
  </si>
  <si>
    <t>Undecideds</t>
  </si>
  <si>
    <t>Medium</t>
  </si>
  <si>
    <t>Yes Votes</t>
  </si>
  <si>
    <t>Lowest</t>
  </si>
  <si>
    <t>Guaranteed Votes</t>
  </si>
  <si>
    <t>% Reliability</t>
  </si>
  <si>
    <t>Total Votes</t>
  </si>
  <si>
    <t>Votes Per Household</t>
  </si>
  <si>
    <t>Total Volunteers</t>
  </si>
  <si>
    <t>Volunteer Hours</t>
  </si>
  <si>
    <t>Actuals</t>
  </si>
  <si>
    <t>Calls</t>
  </si>
  <si>
    <t>Confirmed Yes</t>
  </si>
  <si>
    <t>Confirmed No</t>
  </si>
  <si>
    <t>Undecided</t>
  </si>
  <si>
    <t>Volunteers Recruited</t>
  </si>
  <si>
    <t>Ready to be Recruited</t>
  </si>
  <si>
    <t>Prospects</t>
  </si>
  <si>
    <t>Contacts (65%)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</si>
</sst>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i/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1" fillId="0" fontId="2" numFmtId="0" xfId="0" applyBorder="1" applyFont="1"/>
    <xf borderId="0" fillId="0" fontId="2" numFmtId="3" xfId="0" applyFont="1" applyNumberFormat="1"/>
    <xf borderId="1" fillId="0" fontId="2" numFmtId="3" xfId="0" applyBorder="1" applyFont="1" applyNumberFormat="1"/>
    <xf borderId="2" fillId="0" fontId="1" numFmtId="0" xfId="0" applyAlignment="1" applyBorder="1" applyFont="1">
      <alignment readingOrder="0"/>
    </xf>
    <xf borderId="2" fillId="0" fontId="3" numFmtId="3" xfId="0" applyAlignment="1" applyBorder="1" applyFont="1" applyNumberFormat="1">
      <alignment readingOrder="0"/>
    </xf>
    <xf borderId="2" fillId="0" fontId="1" numFmtId="0" xfId="0" applyBorder="1" applyFont="1"/>
    <xf borderId="3" fillId="0" fontId="1" numFmtId="0" xfId="0" applyBorder="1" applyFont="1"/>
    <xf borderId="2" fillId="0" fontId="3" numFmtId="3" xfId="0" applyBorder="1" applyFont="1" applyNumberFormat="1"/>
    <xf borderId="0" fillId="0" fontId="1" numFmtId="0" xfId="0" applyFont="1"/>
    <xf borderId="1" fillId="0" fontId="1" numFmtId="3" xfId="0" applyBorder="1" applyFont="1" applyNumberFormat="1"/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4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2" width="17.63"/>
    <col customWidth="1" min="3" max="3" width="10.5"/>
    <col customWidth="1" min="4" max="4" width="8.38"/>
    <col customWidth="1" min="5" max="5" width="10.13"/>
    <col customWidth="1" min="6" max="6" width="6.88"/>
    <col customWidth="1" min="7" max="7" width="10.75"/>
    <col customWidth="1" min="9" max="9" width="6.63"/>
    <col customWidth="1" min="10" max="12" width="7.0"/>
    <col customWidth="1" min="13" max="13" width="2.0"/>
    <col customWidth="1" min="14" max="17" width="3.38"/>
    <col customWidth="1" min="18" max="21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3">
        <v>45748.0</v>
      </c>
      <c r="O1" s="3">
        <v>45749.0</v>
      </c>
      <c r="P1" s="3">
        <v>45750.0</v>
      </c>
      <c r="Q1" s="3">
        <v>45751.0</v>
      </c>
      <c r="R1" s="3">
        <v>45752.0</v>
      </c>
      <c r="S1" s="3">
        <v>45753.0</v>
      </c>
      <c r="T1" s="3">
        <v>45754.0</v>
      </c>
    </row>
    <row r="2">
      <c r="A2" s="1" t="s">
        <v>12</v>
      </c>
      <c r="B2" s="4" t="s">
        <v>13</v>
      </c>
      <c r="C2" s="5">
        <v>0.5</v>
      </c>
      <c r="D2" s="6">
        <v>1000000.0</v>
      </c>
      <c r="H2" s="7"/>
      <c r="I2" s="8">
        <f t="shared" ref="I2:L2" si="1">I3*2</f>
        <v>20000</v>
      </c>
      <c r="J2" s="8">
        <f t="shared" si="1"/>
        <v>100000</v>
      </c>
      <c r="K2" s="8">
        <f t="shared" si="1"/>
        <v>300000</v>
      </c>
      <c r="L2" s="8">
        <f t="shared" si="1"/>
        <v>600000</v>
      </c>
    </row>
    <row r="3">
      <c r="A3" s="1" t="s">
        <v>14</v>
      </c>
      <c r="B3" s="4" t="s">
        <v>15</v>
      </c>
      <c r="C3" s="5">
        <v>0.2</v>
      </c>
      <c r="D3" s="6">
        <v>500000.0</v>
      </c>
      <c r="H3" s="7"/>
      <c r="I3" s="8">
        <f t="shared" ref="I3:L3" si="2">I4*5</f>
        <v>10000</v>
      </c>
      <c r="J3" s="8">
        <f t="shared" si="2"/>
        <v>50000</v>
      </c>
      <c r="K3" s="8">
        <f t="shared" si="2"/>
        <v>150000</v>
      </c>
      <c r="L3" s="8">
        <f t="shared" si="2"/>
        <v>300000</v>
      </c>
    </row>
    <row r="4">
      <c r="A4" s="1" t="s">
        <v>16</v>
      </c>
      <c r="B4" s="4" t="s">
        <v>17</v>
      </c>
      <c r="C4" s="5">
        <v>0.5</v>
      </c>
      <c r="D4" s="6">
        <v>100000.0</v>
      </c>
      <c r="H4" s="7"/>
      <c r="I4" s="8">
        <f t="shared" ref="I4:L4" si="3">I5*2</f>
        <v>2000</v>
      </c>
      <c r="J4" s="8">
        <f t="shared" si="3"/>
        <v>10000</v>
      </c>
      <c r="K4" s="8">
        <f t="shared" si="3"/>
        <v>30000</v>
      </c>
      <c r="L4" s="8">
        <f t="shared" si="3"/>
        <v>60000</v>
      </c>
    </row>
    <row r="5">
      <c r="A5" s="1" t="s">
        <v>18</v>
      </c>
      <c r="B5" s="4" t="s">
        <v>19</v>
      </c>
      <c r="C5" s="5">
        <v>0.5</v>
      </c>
      <c r="D5" s="6">
        <v>50000.0</v>
      </c>
      <c r="E5" s="4">
        <v>2.0</v>
      </c>
      <c r="F5" s="4">
        <v>30.0</v>
      </c>
      <c r="G5" s="8">
        <f t="shared" ref="G5:G7" si="5">D5/F5</f>
        <v>1666.666667</v>
      </c>
      <c r="H5" s="9">
        <f t="shared" ref="H5:H7" si="6">G5/10</f>
        <v>166.6666667</v>
      </c>
      <c r="I5" s="8">
        <f t="shared" ref="I5:L5" si="4">I8*5</f>
        <v>1000</v>
      </c>
      <c r="J5" s="8">
        <f t="shared" si="4"/>
        <v>5000</v>
      </c>
      <c r="K5" s="8">
        <f t="shared" si="4"/>
        <v>15000</v>
      </c>
      <c r="L5" s="8">
        <f t="shared" si="4"/>
        <v>30000</v>
      </c>
    </row>
    <row r="6">
      <c r="A6" s="1" t="s">
        <v>20</v>
      </c>
      <c r="B6" s="4" t="s">
        <v>21</v>
      </c>
      <c r="C6" s="5">
        <v>0.3</v>
      </c>
      <c r="D6" s="6">
        <v>30000.0</v>
      </c>
      <c r="E6" s="4">
        <v>5.0</v>
      </c>
      <c r="F6" s="4">
        <v>12.0</v>
      </c>
      <c r="G6" s="8">
        <f t="shared" si="5"/>
        <v>2500</v>
      </c>
      <c r="H6" s="9">
        <f t="shared" si="6"/>
        <v>250</v>
      </c>
      <c r="I6" s="8">
        <f t="shared" ref="I6:L6" si="7">I8*3</f>
        <v>600</v>
      </c>
      <c r="J6" s="8">
        <f t="shared" si="7"/>
        <v>3000</v>
      </c>
      <c r="K6" s="8">
        <f t="shared" si="7"/>
        <v>9000</v>
      </c>
      <c r="L6" s="8">
        <f t="shared" si="7"/>
        <v>18000</v>
      </c>
    </row>
    <row r="7">
      <c r="A7" s="1" t="s">
        <v>22</v>
      </c>
      <c r="B7" s="4" t="s">
        <v>23</v>
      </c>
      <c r="C7" s="5">
        <v>0.2</v>
      </c>
      <c r="D7" s="6">
        <v>20000.0</v>
      </c>
      <c r="E7" s="4">
        <v>10.0</v>
      </c>
      <c r="F7" s="4">
        <v>6.0</v>
      </c>
      <c r="G7" s="8">
        <f t="shared" si="5"/>
        <v>3333.333333</v>
      </c>
      <c r="H7" s="9">
        <f t="shared" si="6"/>
        <v>333.3333333</v>
      </c>
      <c r="I7" s="8">
        <f t="shared" ref="I7:L7" si="8">I8*2</f>
        <v>400</v>
      </c>
      <c r="J7" s="8">
        <f t="shared" si="8"/>
        <v>2000</v>
      </c>
      <c r="K7" s="8">
        <f t="shared" si="8"/>
        <v>6000</v>
      </c>
      <c r="L7" s="8">
        <f t="shared" si="8"/>
        <v>12000</v>
      </c>
    </row>
    <row r="8">
      <c r="A8" s="1" t="s">
        <v>24</v>
      </c>
      <c r="B8" s="4" t="s">
        <v>25</v>
      </c>
      <c r="C8" s="5">
        <v>0.5</v>
      </c>
      <c r="D8" s="6">
        <v>10000.0</v>
      </c>
      <c r="H8" s="7"/>
      <c r="I8" s="6">
        <v>200.0</v>
      </c>
      <c r="J8" s="6">
        <v>1000.0</v>
      </c>
      <c r="K8" s="6">
        <v>3000.0</v>
      </c>
      <c r="L8" s="6">
        <v>6000.0</v>
      </c>
    </row>
    <row r="9">
      <c r="A9" s="10" t="s">
        <v>26</v>
      </c>
      <c r="B9" s="10" t="s">
        <v>27</v>
      </c>
      <c r="C9" s="10">
        <v>1.5</v>
      </c>
      <c r="D9" s="11">
        <v>15000.0</v>
      </c>
      <c r="E9" s="12"/>
      <c r="F9" s="12"/>
      <c r="G9" s="12"/>
      <c r="H9" s="13"/>
      <c r="I9" s="14">
        <f t="shared" ref="I9:L9" si="9">I8*1.5</f>
        <v>300</v>
      </c>
      <c r="J9" s="14">
        <f t="shared" si="9"/>
        <v>1500</v>
      </c>
      <c r="K9" s="14">
        <f t="shared" si="9"/>
        <v>4500</v>
      </c>
      <c r="L9" s="14">
        <f t="shared" si="9"/>
        <v>9000</v>
      </c>
    </row>
    <row r="10">
      <c r="A10" s="4"/>
      <c r="H10" s="7"/>
      <c r="I10" s="4"/>
      <c r="J10" s="4"/>
      <c r="K10" s="4"/>
      <c r="L10" s="4"/>
    </row>
    <row r="11">
      <c r="A11" s="1" t="s">
        <v>28</v>
      </c>
      <c r="B11" s="15"/>
      <c r="C11" s="15"/>
      <c r="D11" s="15"/>
      <c r="E11" s="15"/>
      <c r="F11" s="15"/>
      <c r="G11" s="15"/>
      <c r="H11" s="16">
        <f>SUM(H2:H9)</f>
        <v>750</v>
      </c>
      <c r="I11" s="17">
        <v>50.0</v>
      </c>
      <c r="J11" s="17">
        <v>100.0</v>
      </c>
      <c r="K11" s="17">
        <v>200.0</v>
      </c>
      <c r="L11" s="17">
        <v>400.0</v>
      </c>
    </row>
    <row r="12">
      <c r="A12" s="1" t="s">
        <v>29</v>
      </c>
      <c r="B12" s="15"/>
      <c r="C12" s="15"/>
      <c r="D12" s="15"/>
      <c r="E12" s="15"/>
      <c r="F12" s="15"/>
      <c r="G12" s="15"/>
      <c r="H12" s="16">
        <f t="shared" ref="H12:L12" si="10">H11*10</f>
        <v>7500</v>
      </c>
      <c r="I12" s="18">
        <f t="shared" si="10"/>
        <v>500</v>
      </c>
      <c r="J12" s="18">
        <f t="shared" si="10"/>
        <v>1000</v>
      </c>
      <c r="K12" s="18">
        <f t="shared" si="10"/>
        <v>2000</v>
      </c>
      <c r="L12" s="18">
        <f t="shared" si="10"/>
        <v>4000</v>
      </c>
    </row>
    <row r="14">
      <c r="A14" s="19" t="s">
        <v>30</v>
      </c>
    </row>
    <row r="15">
      <c r="A15" s="4" t="s">
        <v>31</v>
      </c>
      <c r="R15" s="4">
        <v>120.0</v>
      </c>
      <c r="S15" s="4">
        <v>210.0</v>
      </c>
      <c r="T15" s="4">
        <v>224.0</v>
      </c>
      <c r="U15" s="4">
        <v>223.0</v>
      </c>
    </row>
    <row r="16">
      <c r="A16" s="4" t="s">
        <v>3</v>
      </c>
      <c r="R16" s="4">
        <v>10.0</v>
      </c>
      <c r="S16" s="4">
        <v>160.0</v>
      </c>
      <c r="T16" s="4">
        <v>50.0</v>
      </c>
      <c r="U16" s="4">
        <v>62.0</v>
      </c>
    </row>
    <row r="17">
      <c r="A17" s="20" t="s">
        <v>32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0">
        <v>8.0</v>
      </c>
      <c r="S17" s="20">
        <v>20.0</v>
      </c>
      <c r="T17" s="20">
        <v>27.0</v>
      </c>
      <c r="U17" s="20">
        <v>23.0</v>
      </c>
    </row>
    <row r="18">
      <c r="A18" s="4" t="s">
        <v>33</v>
      </c>
      <c r="R18" s="4">
        <v>0.0</v>
      </c>
      <c r="S18" s="4">
        <v>9.0</v>
      </c>
      <c r="T18" s="4">
        <v>8.0</v>
      </c>
      <c r="U18" s="4">
        <v>6.0</v>
      </c>
    </row>
    <row r="19">
      <c r="A19" s="4" t="s">
        <v>34</v>
      </c>
      <c r="R19" s="4">
        <v>0.0</v>
      </c>
      <c r="S19" s="4">
        <v>2.0</v>
      </c>
      <c r="T19" s="4">
        <v>4.0</v>
      </c>
      <c r="U19" s="4">
        <v>4.0</v>
      </c>
    </row>
    <row r="20">
      <c r="A20" s="4" t="s">
        <v>35</v>
      </c>
      <c r="R20" s="4">
        <v>0.0</v>
      </c>
      <c r="S20" s="4">
        <v>0.0</v>
      </c>
      <c r="T20" s="4">
        <v>1.0</v>
      </c>
      <c r="U20" s="4">
        <v>4.0</v>
      </c>
    </row>
    <row r="21">
      <c r="A21" s="4" t="s">
        <v>36</v>
      </c>
      <c r="R21" s="4">
        <v>0.0</v>
      </c>
      <c r="S21" s="4">
        <v>0.0</v>
      </c>
      <c r="T21" s="4">
        <v>0.0</v>
      </c>
      <c r="U21" s="4">
        <v>2.0</v>
      </c>
    </row>
    <row r="24">
      <c r="A24" s="4" t="s">
        <v>37</v>
      </c>
      <c r="B24" s="4">
        <v>7000.0</v>
      </c>
    </row>
    <row r="25">
      <c r="A25" s="4" t="s">
        <v>38</v>
      </c>
      <c r="B25" s="4">
        <v>4000.0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