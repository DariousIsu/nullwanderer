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ted Slate - TOP 100" sheetId="1" r:id="rId4"/>
    <sheet state="visible" name="Slate for Design" sheetId="2" r:id="rId5"/>
    <sheet state="visible" name="Out of boxers" sheetId="3" r:id="rId6"/>
    <sheet state="visible" name="Full Ambassador List" sheetId="4" r:id="rId7"/>
    <sheet state="visible" name="Interview Checklist" sheetId="5" r:id="rId8"/>
    <sheet state="visible" name="Social Media Delegates" sheetId="6" r:id="rId9"/>
  </sheets>
  <definedNames>
    <definedName hidden="1" localSheetId="0" name="_xlnm._FilterDatabase">'Submitted Slate - TOP 100'!$A$1:$AH$100</definedName>
    <definedName hidden="1" localSheetId="3" name="_xlnm._FilterDatabase">'Full Ambassador List'!$A$1:$N$401</definedName>
  </definedNames>
  <calcPr/>
</workbook>
</file>

<file path=xl/sharedStrings.xml><?xml version="1.0" encoding="utf-8"?>
<sst xmlns="http://schemas.openxmlformats.org/spreadsheetml/2006/main" count="4780" uniqueCount="1319">
  <si>
    <t>cdfrvx</t>
  </si>
  <si>
    <t>Delegate Candidate</t>
  </si>
  <si>
    <t>Interviewer</t>
  </si>
  <si>
    <t>Mark met with them</t>
  </si>
  <si>
    <t>Dylan outreach</t>
  </si>
  <si>
    <t>Column 34</t>
  </si>
  <si>
    <t>Social Media</t>
  </si>
  <si>
    <t>Fundr'ing</t>
  </si>
  <si>
    <t>GOTV</t>
  </si>
  <si>
    <t>Policy</t>
  </si>
  <si>
    <t>Video for Amb Pg</t>
  </si>
  <si>
    <t>Sex</t>
  </si>
  <si>
    <t>Age Range</t>
  </si>
  <si>
    <t>Verified as 35 and under</t>
  </si>
  <si>
    <t>Phone</t>
  </si>
  <si>
    <t>Email</t>
  </si>
  <si>
    <t>City</t>
  </si>
  <si>
    <t>State</t>
  </si>
  <si>
    <t>Occupation</t>
  </si>
  <si>
    <t>Notes</t>
  </si>
  <si>
    <t>Column 2</t>
  </si>
  <si>
    <t>Column 3</t>
  </si>
  <si>
    <t>Column 4</t>
  </si>
  <si>
    <t>Column 5</t>
  </si>
  <si>
    <t>Column 6</t>
  </si>
  <si>
    <t>Column 7</t>
  </si>
  <si>
    <t>Column 8</t>
  </si>
  <si>
    <t>Column 9</t>
  </si>
  <si>
    <t>Column 10</t>
  </si>
  <si>
    <t>Column 11</t>
  </si>
  <si>
    <t>Column 12</t>
  </si>
  <si>
    <t>Column 13</t>
  </si>
  <si>
    <t>Column 14</t>
  </si>
  <si>
    <t>Column 15</t>
  </si>
  <si>
    <t>Tila Falic Levi</t>
  </si>
  <si>
    <t>Mark</t>
  </si>
  <si>
    <t>Female</t>
  </si>
  <si>
    <t>Over 35</t>
  </si>
  <si>
    <t>tilafl@mac.com</t>
  </si>
  <si>
    <t>Bal Harbour</t>
  </si>
  <si>
    <t>FL</t>
  </si>
  <si>
    <t>Educational and Political Advocate</t>
  </si>
  <si>
    <t xml:space="preserve">Every single event in Florida </t>
  </si>
  <si>
    <t>Rachael Chevalier</t>
  </si>
  <si>
    <t>Wed (Eve) (5pm),</t>
  </si>
  <si>
    <t>Complete</t>
  </si>
  <si>
    <t>rachael@compedgeconsults.com</t>
  </si>
  <si>
    <t xml:space="preserve">Washington </t>
  </si>
  <si>
    <t>DC</t>
  </si>
  <si>
    <t>Consultant for GovCon industry</t>
  </si>
  <si>
    <t xml:space="preserve">Public policy background, unapologetic zionist, organizational and project mgmt skills, mixed background (mother is jewish) and understands the value of Christian allies but also understands the need for Jewish autonomy </t>
  </si>
  <si>
    <t>Justine Brooke Murray*</t>
  </si>
  <si>
    <t>Wed (Eve) (615pm),</t>
  </si>
  <si>
    <t>35 and under</t>
  </si>
  <si>
    <t>justinebrookemurray@gmail.com</t>
  </si>
  <si>
    <t>Denville</t>
  </si>
  <si>
    <t>NJ</t>
  </si>
  <si>
    <t>Influencer, News personality</t>
  </si>
  <si>
    <t>Major influencer, unapologetic zionist, very connected in the U.S. conservative world in DC, 25 years old</t>
  </si>
  <si>
    <t>Benjamin Gershon</t>
  </si>
  <si>
    <t>Male</t>
  </si>
  <si>
    <t>info@americanjewishconservatives.com</t>
  </si>
  <si>
    <t xml:space="preserve">Dallas </t>
  </si>
  <si>
    <t>TX</t>
  </si>
  <si>
    <t xml:space="preserve">President of American Jewish Conservatives </t>
  </si>
  <si>
    <t xml:space="preserve">We have organized rallies, marches and solidarity events for Israel. We have also brought in pro-Israel speakers for speaker series events and we have raised money for IDF soldiers, their families and those affected by the war. </t>
  </si>
  <si>
    <t>Irma Fralic</t>
  </si>
  <si>
    <t>No calla</t>
  </si>
  <si>
    <t>irma@fralic.com</t>
  </si>
  <si>
    <t>Wyndmoor</t>
  </si>
  <si>
    <t>PA</t>
  </si>
  <si>
    <t>Developer, Political Advisor</t>
  </si>
  <si>
    <t>Nikki Haley campaign</t>
  </si>
  <si>
    <t>Bruce Jacobson</t>
  </si>
  <si>
    <t>4/22- 230pm</t>
  </si>
  <si>
    <t>bjacob56@gmail.com</t>
  </si>
  <si>
    <t>New York City</t>
  </si>
  <si>
    <t>NY</t>
  </si>
  <si>
    <t>Health care advisor/investor</t>
  </si>
  <si>
    <t>AIPAC - Presidents Cabinet level; American Friends of Magen David Adom; contributor to numerous pro-Israel and Israel based organizations and charities. Able to help with fundraising and GOTV</t>
  </si>
  <si>
    <t>Shlomo Skaist*</t>
  </si>
  <si>
    <t>4/23 - 1pm. *No receipt of upvote text*</t>
  </si>
  <si>
    <t>stevenskaist@gmail.com</t>
  </si>
  <si>
    <t>Richmond</t>
  </si>
  <si>
    <t>VA</t>
  </si>
  <si>
    <t>Lawyer</t>
  </si>
  <si>
    <t>Darren Fields</t>
  </si>
  <si>
    <t>No calls</t>
  </si>
  <si>
    <t>dgfields@me.com</t>
  </si>
  <si>
    <t>Brooklyn</t>
  </si>
  <si>
    <t>Tech investor, business investor</t>
  </si>
  <si>
    <t>Karys Rhea Melnitzer</t>
  </si>
  <si>
    <t>LM + text</t>
  </si>
  <si>
    <t>karysrhea@gmail.com</t>
  </si>
  <si>
    <t>Alexandria</t>
  </si>
  <si>
    <t>Producer, Epoch Times</t>
  </si>
  <si>
    <t>Advocacy for Middle East Forum, Jewish Leadership Project</t>
  </si>
  <si>
    <t>Andy Weinstein</t>
  </si>
  <si>
    <t>Friday (4/18) 2-6pm</t>
  </si>
  <si>
    <t>andy06525@me.com</t>
  </si>
  <si>
    <t>CT</t>
  </si>
  <si>
    <t>Erielle Davidson*</t>
  </si>
  <si>
    <t>text</t>
  </si>
  <si>
    <t>erielle.r.davidson@gmail.com</t>
  </si>
  <si>
    <t xml:space="preserve">Potomac </t>
  </si>
  <si>
    <t>MD</t>
  </si>
  <si>
    <t>Lawyer working several high profile cases for students fighting antisemitism and Israelis being sanctioned by Biden admin</t>
  </si>
  <si>
    <t xml:space="preserve">Arthur Kaplan   </t>
  </si>
  <si>
    <t>arthur@lucraricapital.com</t>
  </si>
  <si>
    <t>OH</t>
  </si>
  <si>
    <t>FIDF board member</t>
  </si>
  <si>
    <t>Sami Steigmann</t>
  </si>
  <si>
    <t>sami1939@gmail.com</t>
  </si>
  <si>
    <t>Sharon Michaels</t>
  </si>
  <si>
    <t>sharon@israel365.com</t>
  </si>
  <si>
    <t>Dallas</t>
  </si>
  <si>
    <t>Kayla Gubov*</t>
  </si>
  <si>
    <t>kgubov@gmail.com</t>
  </si>
  <si>
    <t>Washington</t>
  </si>
  <si>
    <t>Executive Assistant</t>
  </si>
  <si>
    <t>Supports AJC Global ACCESS Board, support FIDF</t>
  </si>
  <si>
    <t>Mitchell Kaye</t>
  </si>
  <si>
    <t>mkaye26@gmail.com</t>
  </si>
  <si>
    <t>Marietta</t>
  </si>
  <si>
    <t>GA</t>
  </si>
  <si>
    <t>retired financial analyst</t>
  </si>
  <si>
    <t>Israel Food Rescue, work with Israeli Consulate in Atlanta to bring a bi-partisan group of legislators to Israel, write articles, etc</t>
  </si>
  <si>
    <t>Josh Hammer</t>
  </si>
  <si>
    <t>joshhammer89@gmail.com</t>
  </si>
  <si>
    <t>Hallandale Beach</t>
  </si>
  <si>
    <t>Writer, talker, speaker, lawyer</t>
  </si>
  <si>
    <t>Many different groups and outlets over the years, including YJC. WIlling to help get the vote out, message out, make videos, and post on social media</t>
  </si>
  <si>
    <t>Ariel Siegelman</t>
  </si>
  <si>
    <t>ariel@thedracogroup.com</t>
  </si>
  <si>
    <t>Alpharetta</t>
  </si>
  <si>
    <t>Co Founder Draco Group</t>
  </si>
  <si>
    <t>Elite security services, Special Ops, Detection Removal and Characterization Operation (DRACO), co-founder Global Action Institute</t>
  </si>
  <si>
    <t>Lauren Tennenbaum*</t>
  </si>
  <si>
    <t>lauren@deeprinting.com</t>
  </si>
  <si>
    <t>Columbus</t>
  </si>
  <si>
    <t>CPA</t>
  </si>
  <si>
    <t>Can help with events, can help with GOTV, I go to as many fundraisers and advocacy opportunities as possible, mentioned she can get us Matisyahu for concerts</t>
  </si>
  <si>
    <t>Joshua Rothstein</t>
  </si>
  <si>
    <t>Not interested</t>
  </si>
  <si>
    <t>Not Applicable</t>
  </si>
  <si>
    <t>josh.rothstein1@gmail.com</t>
  </si>
  <si>
    <t xml:space="preserve">Business owner </t>
  </si>
  <si>
    <t xml:space="preserve"> Involved in Israel 365, AIPAC, has MBA and experience in finance, involved in the orthodox community </t>
  </si>
  <si>
    <t>Moshe Glick</t>
  </si>
  <si>
    <t>mglickus@gmail.com</t>
  </si>
  <si>
    <t>West Orange</t>
  </si>
  <si>
    <t>Dentist</t>
  </si>
  <si>
    <t>Head of Israel365 New Jersey</t>
  </si>
  <si>
    <t>Renee Glick</t>
  </si>
  <si>
    <t>rglickusa@yahoo.com</t>
  </si>
  <si>
    <t>Shimmy Karasic*</t>
  </si>
  <si>
    <t>Skarasick@gmail.com</t>
  </si>
  <si>
    <t>Julie Strauss Levin</t>
  </si>
  <si>
    <t>jastrauss@outlook.com</t>
  </si>
  <si>
    <t>Leesburg</t>
  </si>
  <si>
    <t>Revisit in January, asked if Stacey Burke is involved, not sure how much time she has to commit</t>
  </si>
  <si>
    <t>Rabbi Elisha Paul</t>
  </si>
  <si>
    <t>Brian</t>
  </si>
  <si>
    <t>elishapaul@gmail.com</t>
  </si>
  <si>
    <t>Day School Head</t>
  </si>
  <si>
    <t>Equipment from VA State Police shipped to Israel</t>
  </si>
  <si>
    <t>Seth Lynn</t>
  </si>
  <si>
    <t>wzo@sethlynn.com</t>
  </si>
  <si>
    <t>Atlanta</t>
  </si>
  <si>
    <t>Real Estate</t>
  </si>
  <si>
    <t>Lives in Atlanta but travels most of the year and is flexible, significant investor according to Rabbi Elisha Paul, can help with operations, can try to help raise money, he himself can commit $5-7k. NOTE FROM MARK FISHMAN: He is happy to be anywhere in the world were help is needed and he can be flexible to fly anywhere...</t>
  </si>
  <si>
    <t>Julian Weiss*</t>
  </si>
  <si>
    <t>In Progress</t>
  </si>
  <si>
    <t>aborgen02@yahoo.com</t>
  </si>
  <si>
    <t xml:space="preserve">Lawrence </t>
  </si>
  <si>
    <t>Student</t>
  </si>
  <si>
    <t>victim of antisemitic attack in Texas at his college, nearly died from the attack. Wants to connect us to Ribanut (sovereighnty movement) to help campaign and raise profile. Would love to help make connections in congress and run events/groups. Has experience</t>
  </si>
  <si>
    <t>Paige Weinstein</t>
  </si>
  <si>
    <t>scharr60@yahoo.com</t>
  </si>
  <si>
    <t>West Haven</t>
  </si>
  <si>
    <t>Rabbi Adam Winston</t>
  </si>
  <si>
    <t>adambwinston@gmail.com</t>
  </si>
  <si>
    <t>Rabbi, Lawyer</t>
  </si>
  <si>
    <t>Zionist education, can help GOTV and draft positions papers</t>
  </si>
  <si>
    <t>Rochelle Kaltman*</t>
  </si>
  <si>
    <t>No Answer to Brian</t>
  </si>
  <si>
    <t>rochelkaltmann@gmail.com</t>
  </si>
  <si>
    <t>"IDF Barbie Doll"</t>
  </si>
  <si>
    <t>David Schottenstein</t>
  </si>
  <si>
    <t>ds@dscncapital.com</t>
  </si>
  <si>
    <t>Surfside</t>
  </si>
  <si>
    <t>Edith Schottenstein</t>
  </si>
  <si>
    <t>edasirota@hotmail.com</t>
  </si>
  <si>
    <t>Agoura Hills</t>
  </si>
  <si>
    <t>CA</t>
  </si>
  <si>
    <t>Ari Hoffman</t>
  </si>
  <si>
    <t>thehoffather@gmail.com</t>
  </si>
  <si>
    <t>Seattle</t>
  </si>
  <si>
    <t>WA</t>
  </si>
  <si>
    <t>Host of The Ari Hoffman Show, can help with podcasts and will host our interviews, his phone is usually on silent so best to text</t>
  </si>
  <si>
    <t>ON air advocacy, social media influencer, speaker, rally organizer</t>
  </si>
  <si>
    <t>Zachary Silver*</t>
  </si>
  <si>
    <t>zsilver@protonmail.com</t>
  </si>
  <si>
    <t>Bergenfield</t>
  </si>
  <si>
    <t xml:space="preserve">Software Engineer </t>
  </si>
  <si>
    <t>Fundraising for FIDF, can help with fundraising and GOTV, depending on time available to commit, *note to Rachael - met him at the FIDF event in DC</t>
  </si>
  <si>
    <t>Deborah Peretz</t>
  </si>
  <si>
    <t>deborahperetz1@gmail.com</t>
  </si>
  <si>
    <t>Stony Brook</t>
  </si>
  <si>
    <t>Northeast &amp; Canada Regional Director, IsraelLINK</t>
  </si>
  <si>
    <t>Everything I do is pro-Israel, from writing curriculum to going to rallies. She is still committed, works with Stand With Us, and has deep experience in Jewish education. Can write articles and make content</t>
  </si>
  <si>
    <t>Gary Sternberg</t>
  </si>
  <si>
    <t>garyseven@gmail.com</t>
  </si>
  <si>
    <t>Miami</t>
  </si>
  <si>
    <t>Graphic Designer</t>
  </si>
  <si>
    <t>Can run events, public speaks, designs</t>
  </si>
  <si>
    <t>David Wurmser</t>
  </si>
  <si>
    <t>dwurmser@dganalysis.com</t>
  </si>
  <si>
    <t>Rockville</t>
  </si>
  <si>
    <t xml:space="preserve">Senior Advisor to U.S. Policians </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</si>
  <si>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</si>
  <si>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Hillary Rothstein*</t>
  </si>
  <si>
    <t>hillary.rothstein@icloud.com</t>
  </si>
  <si>
    <t>Can run events with husband in Dallas (Joshua)</t>
  </si>
  <si>
    <t>Cary Kozberg</t>
  </si>
  <si>
    <t>rebckoz@gmail.com</t>
  </si>
  <si>
    <t>Stand With Us, Mattathias Project</t>
  </si>
  <si>
    <t>Lisa Rothstein</t>
  </si>
  <si>
    <t>ljroth02@gmail.com</t>
  </si>
  <si>
    <t>Office</t>
  </si>
  <si>
    <t>Run for their lives, Israel365</t>
  </si>
  <si>
    <t>Jason Ciment</t>
  </si>
  <si>
    <t>jason@ciment.com</t>
  </si>
  <si>
    <t>Los Angeles</t>
  </si>
  <si>
    <t xml:space="preserve">ceo of marketing agency     </t>
  </si>
  <si>
    <t>involved in JSU, OU, SCICC .biz   Not answering phone calls or texts anymore</t>
  </si>
  <si>
    <t>Richard Soclof</t>
  </si>
  <si>
    <t>richard@soclof.com</t>
  </si>
  <si>
    <t>Beachwood</t>
  </si>
  <si>
    <t>Shoshana Wasker*</t>
  </si>
  <si>
    <t>suzie.rech@gmail.com</t>
  </si>
  <si>
    <t>Jacksonville</t>
  </si>
  <si>
    <t>Finance</t>
  </si>
  <si>
    <t xml:space="preserve"> Christian Zionism, Abraham Accords</t>
  </si>
  <si>
    <t>Matthew Faraci</t>
  </si>
  <si>
    <t>matthewfaraci@gmail.com</t>
  </si>
  <si>
    <t>Grove</t>
  </si>
  <si>
    <t>OK</t>
  </si>
  <si>
    <t>Ella Belzberg Thompson, PhD</t>
  </si>
  <si>
    <t>ella@avantilab.org</t>
  </si>
  <si>
    <t>Beverly Hills</t>
  </si>
  <si>
    <t>Educator</t>
  </si>
  <si>
    <t>Educational program development showing Israel in a positive light. Runs programs with husband to connect Americans and Jews in Yehuda veShomron, worth talking to as they are interested in running events ASAP</t>
  </si>
  <si>
    <t>Rabbi Michael Barclay</t>
  </si>
  <si>
    <t>rabbibarclay@aol.com</t>
  </si>
  <si>
    <t>Rabbi</t>
  </si>
  <si>
    <t>Temple Ner Simcha Senior Rabbi; Bnai Zion Foundation; Fundraisung for Bnai Zion Hospital in Haifa; Rabbis Table Podcast; PJ Media Columnist</t>
  </si>
  <si>
    <t>Batsheva Paul*</t>
  </si>
  <si>
    <t>bpaul@meor.org</t>
  </si>
  <si>
    <t>a young leader at university of Maryland, near me, and she is the daughter of Rabbi Elisha Paul, also a delegate. Batsheva runs Meor on campus for outreach to Jewish students and she helps run trips to everywhere including Israel for the college Park students.</t>
  </si>
  <si>
    <t>Moshe Phillips</t>
  </si>
  <si>
    <t>moshephillips2020@gmail.com</t>
  </si>
  <si>
    <t>Bensalem</t>
  </si>
  <si>
    <t>Help run events and advising</t>
  </si>
  <si>
    <t>Rudy Melnitzer</t>
  </si>
  <si>
    <t>helainy@comcast.net</t>
  </si>
  <si>
    <t>Larkspur</t>
  </si>
  <si>
    <t>Business</t>
  </si>
  <si>
    <t>Philanthropy, advocacy Im Tirzu ,Regavim etc.</t>
  </si>
  <si>
    <t>Helaine Melnitzer</t>
  </si>
  <si>
    <t>lainy250@gmail.com</t>
  </si>
  <si>
    <t>business</t>
  </si>
  <si>
    <t>philanthropy, advocacy</t>
  </si>
  <si>
    <t>Zack Rich*</t>
  </si>
  <si>
    <t>zackrichh@gmail.com</t>
  </si>
  <si>
    <t>Wants to involve W/ R' Chait abt HarHabayit</t>
  </si>
  <si>
    <t>Mark Hyman</t>
  </si>
  <si>
    <t>mark@hymanmd.net</t>
  </si>
  <si>
    <t>Doctor</t>
  </si>
  <si>
    <t>worked in international healthcare around the globe including south asia, africa, has a home in israel, donated to us already, can help with GOTV and fundraising</t>
  </si>
  <si>
    <t>Jeffrey Bookman</t>
  </si>
  <si>
    <t>jeffbookman63@gmail.com</t>
  </si>
  <si>
    <t>Jeweler</t>
  </si>
  <si>
    <t xml:space="preserve">Volunteer when the war started  </t>
  </si>
  <si>
    <t>Shari Portnoy</t>
  </si>
  <si>
    <t>dotport1@hotmail.com</t>
  </si>
  <si>
    <t>Delray beach</t>
  </si>
  <si>
    <t>Brielle Appelbaum*</t>
  </si>
  <si>
    <t>brielle@inspirecapital.org</t>
  </si>
  <si>
    <t>WEST PALM BCH</t>
  </si>
  <si>
    <t>Mark Laytin</t>
  </si>
  <si>
    <t>mark.laytin@gmail.com</t>
  </si>
  <si>
    <t>Annapolis</t>
  </si>
  <si>
    <t>Finance, Auditing, Retired Business Owner</t>
  </si>
  <si>
    <t>Donor experience, writer and lecturer, can help organize, can make fundraising calls</t>
  </si>
  <si>
    <t>Rhonda Weiss</t>
  </si>
  <si>
    <t>rweiss2020@gmail.com</t>
  </si>
  <si>
    <t>Tuly's mother-in-law</t>
  </si>
  <si>
    <t>Karen Hurvitz</t>
  </si>
  <si>
    <t>karendhurvitz@gmail.com</t>
  </si>
  <si>
    <t>Concord</t>
  </si>
  <si>
    <t>MA</t>
  </si>
  <si>
    <t>Attorney, Educator</t>
  </si>
  <si>
    <t>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 Likes to write articles and would write for the campaign</t>
  </si>
  <si>
    <t>David Michaels*</t>
  </si>
  <si>
    <t>flowerlunch04@gmail.com</t>
  </si>
  <si>
    <t>Charles Michaels</t>
  </si>
  <si>
    <t>701894@protonmail.com</t>
  </si>
  <si>
    <t>CHAGRIN FALLS</t>
  </si>
  <si>
    <t>Eric Chajmovic</t>
  </si>
  <si>
    <t>charles.michaels1@outlook.com</t>
  </si>
  <si>
    <t>Stacey Hunt</t>
  </si>
  <si>
    <t>staceyhuntsolutions@gmail.com</t>
  </si>
  <si>
    <t>Chicago</t>
  </si>
  <si>
    <t>IL</t>
  </si>
  <si>
    <t>Business Development and Integration Specialist</t>
  </si>
  <si>
    <t xml:space="preserve">Oct7 Ambassador, Influencer, Collaboration Hub, Admin; Global Protective Strategy - Freedom AID (TBD), Simon Wiesenthal Center volunteer, Walk/Run for Their Lives, Chicago Jewish Alliance, Collective Kindness  </t>
  </si>
  <si>
    <t>Joseph Borgen*</t>
  </si>
  <si>
    <t>davidhassid4@gmail.com</t>
  </si>
  <si>
    <t>Great Neck</t>
  </si>
  <si>
    <t>Cynthia Alpert</t>
  </si>
  <si>
    <t>cynthiardh64@yahoo.com</t>
  </si>
  <si>
    <t>Suffern</t>
  </si>
  <si>
    <t>Benjamin Stuart Thompson</t>
  </si>
  <si>
    <t>benjamin@avantilab.org</t>
  </si>
  <si>
    <t>Director</t>
  </si>
  <si>
    <t>Development of US -- Israel positive media/ grandmother in titanic . Loving hands at home-   Runs programs with wife to connect Americans and Jews in Yehuda veShomron, worth talking to as they are interested in running events ASAP</t>
  </si>
  <si>
    <t>Joseph Lerner</t>
  </si>
  <si>
    <t>Iamjopaul@gmail.com</t>
  </si>
  <si>
    <t>staten island</t>
  </si>
  <si>
    <t>Social Media Influencer, Rapper</t>
  </si>
  <si>
    <t>Gabriella Gomperts*</t>
  </si>
  <si>
    <t>gabriellagomperts@gmail.com</t>
  </si>
  <si>
    <t>Interned for Israel365 in Summer, very invested, student in Stern college, interested in running booth at Stern collge. Also can write articles if given direction</t>
  </si>
  <si>
    <t>Tamar Friedman</t>
  </si>
  <si>
    <t>tamar.friedman@gmail.com</t>
  </si>
  <si>
    <t xml:space="preserve">Retired </t>
  </si>
  <si>
    <t xml:space="preserve">Doesn't have much to offer, but has a background in education - was a principal for a Orthodox Jewish School in Chicago, wants to help GOTV, travels to Israel often </t>
  </si>
  <si>
    <t>Darren Spain</t>
  </si>
  <si>
    <t>yeshayahumsc@gmail.com</t>
  </si>
  <si>
    <t>Fort Lauderdale</t>
  </si>
  <si>
    <t>Sam Levine</t>
  </si>
  <si>
    <t>samspolitics@gmail.com</t>
  </si>
  <si>
    <t>Lafayette</t>
  </si>
  <si>
    <t xml:space="preserve">Chief Zionist Officer @ Prager U / Director of Development </t>
  </si>
  <si>
    <t xml:space="preserve">Prager U CEO, Marissa, asked that we work with Sam to get what we need. They're willing to help any way they can. Prager U cannot collaborate on social media but Marissa, the CEO can, and has 80k followers, possibily can endorse us. Opportunity to work with Prager through various media outlets, they just can't post us directly on their social media. </t>
  </si>
  <si>
    <t>Darren Glick</t>
  </si>
  <si>
    <t>darrenglick@gmail.com</t>
  </si>
  <si>
    <t>He is the head editor of a magaine and he is happy to write an artile for us and publish it. But he is unable to get invovled beyond this....</t>
  </si>
  <si>
    <t>Yaakov Blachman</t>
  </si>
  <si>
    <t>ds@schottycapital.com</t>
  </si>
  <si>
    <t>Charles Lessin</t>
  </si>
  <si>
    <t>Alexa Cohen*</t>
  </si>
  <si>
    <t>alexa.madison.cohen@gmail.com</t>
  </si>
  <si>
    <t>Cohasset</t>
  </si>
  <si>
    <t>Suzy Grossman</t>
  </si>
  <si>
    <t>sgrossman40@yahoo.com</t>
  </si>
  <si>
    <t>Has a lot of connections to potential voting blocks in FL, can fundraise, very motivated. Reommend to help her run events during voting period</t>
  </si>
  <si>
    <t>Lane Katz</t>
  </si>
  <si>
    <t>lanekatz@hotmail.com</t>
  </si>
  <si>
    <t>Boynton Beach</t>
  </si>
  <si>
    <t>Michael Brandsdorfer</t>
  </si>
  <si>
    <t>amisabba@gmail.com</t>
  </si>
  <si>
    <t>Great neck</t>
  </si>
  <si>
    <t>David Cathers*</t>
  </si>
  <si>
    <t>david.cathers@hotmail.com</t>
  </si>
  <si>
    <t>Elizabeth Attar</t>
  </si>
  <si>
    <t>emeraldattar@gmail.com</t>
  </si>
  <si>
    <t>Baltimore</t>
  </si>
  <si>
    <t>Alex Shlyankevich</t>
  </si>
  <si>
    <t>ashlyank@gmail.com</t>
  </si>
  <si>
    <t>Newton</t>
  </si>
  <si>
    <t>Investment Director, can help GOTV for Russian community</t>
  </si>
  <si>
    <t>Orot Yerushalaim, The City of David, Volunteering in moshavs, can help get out the vote, has great ideas for marketing</t>
  </si>
  <si>
    <t xml:space="preserve">very nice guy said he spoke to Tuli and he specifically wasn't going tocontribute financially and had a meeting with mark set up </t>
  </si>
  <si>
    <t>Howard Bloom</t>
  </si>
  <si>
    <t>howlbloom@aol.com</t>
  </si>
  <si>
    <t>Richard Friedman*</t>
  </si>
  <si>
    <t>rockyfriedman@gmail.com</t>
  </si>
  <si>
    <t>Zoe Burstyn</t>
  </si>
  <si>
    <t>zoeburstyn@yahoo.com</t>
  </si>
  <si>
    <t>Julia Babka-Kurzrock</t>
  </si>
  <si>
    <t>Alamo</t>
  </si>
  <si>
    <t>Lolly Friedman</t>
  </si>
  <si>
    <t>lollyf68@gmail.com</t>
  </si>
  <si>
    <t>Wrote a song for One Jewish State, stay at home mom</t>
  </si>
  <si>
    <t>Ari Falkner*</t>
  </si>
  <si>
    <t>arifalkner.eng@gmail.com</t>
  </si>
  <si>
    <t>Alexander Doctoroff</t>
  </si>
  <si>
    <t>elaldoc@doctor.com</t>
  </si>
  <si>
    <t>Livingston</t>
  </si>
  <si>
    <t>Dorothy Portnoy</t>
  </si>
  <si>
    <t>Dotport1@hotmail.com</t>
  </si>
  <si>
    <t>Delray Beach</t>
  </si>
  <si>
    <t>Adam Thompson</t>
  </si>
  <si>
    <t>abstractmiami@gmail.com</t>
  </si>
  <si>
    <t>Can help get out the vote, big in the U.S. art scene</t>
  </si>
  <si>
    <t>Joshua Corcos*</t>
  </si>
  <si>
    <t>joshuaecorcos@gmail.com</t>
  </si>
  <si>
    <t>Lowell Fletcher</t>
  </si>
  <si>
    <t>lowellfletcher@gmail.com</t>
  </si>
  <si>
    <t xml:space="preserve">Leawood </t>
  </si>
  <si>
    <t>KS</t>
  </si>
  <si>
    <t>Doctor in Hospital</t>
  </si>
  <si>
    <t xml:space="preserve">Committed, but time constrained, can help with social media and policy committee </t>
  </si>
  <si>
    <t>Gene Eydelman</t>
  </si>
  <si>
    <t>gene_eydelman@hotmail.com</t>
  </si>
  <si>
    <t>Highland Park</t>
  </si>
  <si>
    <t>Recycling Company</t>
  </si>
  <si>
    <t>wrote an article in Israel365 - ....Russian American Jew             Shmuel - He wants a whatsapp from Mark in order to set up an meeting. He wants to know our campaign our plan, how much money we have and how much we need and a link to our facebook page. He seemed super enthusiastic about the campaign and wants to help anyways he can. He went to a dinner in new york and seems super inspired!</t>
  </si>
  <si>
    <t>Arielle Boloker*</t>
  </si>
  <si>
    <t>bariari@icloud.com</t>
  </si>
  <si>
    <t>Chestnut Hill</t>
  </si>
  <si>
    <t>Katherine Dachs</t>
  </si>
  <si>
    <t>Ambassador</t>
  </si>
  <si>
    <t>katherinedachs@gmail.com</t>
  </si>
  <si>
    <t>Karen Bloch</t>
  </si>
  <si>
    <t>KarenLehrmanBloch@GrafiaBooks.com</t>
  </si>
  <si>
    <t>New York</t>
  </si>
  <si>
    <t>Devra Block</t>
  </si>
  <si>
    <t>devrablock@aol.com</t>
  </si>
  <si>
    <t>howard bloom</t>
  </si>
  <si>
    <t>Antaeus Edelsohn</t>
  </si>
  <si>
    <t>gedelsoh@gmail.com</t>
  </si>
  <si>
    <t>Henrico</t>
  </si>
  <si>
    <t>Michelle Blumenfeld</t>
  </si>
  <si>
    <t>votemichelle@gmail.com</t>
  </si>
  <si>
    <t>Sherman Oaks</t>
  </si>
  <si>
    <t>Column 1</t>
  </si>
  <si>
    <t>FLORIDA</t>
  </si>
  <si>
    <t>CALIFORNIA</t>
  </si>
  <si>
    <t>Rabbi Pinchas Taylor</t>
  </si>
  <si>
    <t>VIRGINIA</t>
  </si>
  <si>
    <t>WASHINGTON, DC</t>
  </si>
  <si>
    <t>PENNSYLVANIA</t>
  </si>
  <si>
    <t>NEW JERSEY</t>
  </si>
  <si>
    <t>TEXAS</t>
  </si>
  <si>
    <t>OHIO</t>
  </si>
  <si>
    <t>NEW YORK</t>
  </si>
  <si>
    <t>CONNECTICUT</t>
  </si>
  <si>
    <t>MARYLAND</t>
  </si>
  <si>
    <t>MASSACHUSETTS</t>
  </si>
  <si>
    <t>GEORGIA</t>
  </si>
  <si>
    <t>ILLINOIS</t>
  </si>
  <si>
    <t>Sidney Rosenberg</t>
  </si>
  <si>
    <t>Daniella Azrad*</t>
  </si>
  <si>
    <t>Marissa Streit</t>
  </si>
  <si>
    <t>WASHINGTON</t>
  </si>
  <si>
    <t>Mindy Franklin*</t>
  </si>
  <si>
    <t>ARIZONA</t>
  </si>
  <si>
    <t>Yehuda Honickman</t>
  </si>
  <si>
    <t>KANSAS</t>
  </si>
  <si>
    <t>OKLAHOMA</t>
  </si>
  <si>
    <t>Elizabeth Barcohana</t>
  </si>
  <si>
    <t>MASSACHUSETS</t>
  </si>
  <si>
    <t>matthew Faraci</t>
  </si>
  <si>
    <t>#</t>
  </si>
  <si>
    <t>Name</t>
  </si>
  <si>
    <t>Stage</t>
  </si>
  <si>
    <t>Role</t>
  </si>
  <si>
    <t>David Katz</t>
  </si>
  <si>
    <t>David</t>
  </si>
  <si>
    <t>Delegate</t>
  </si>
  <si>
    <t>dfkatzie@gmail.com</t>
  </si>
  <si>
    <t xml:space="preserve">Attorney </t>
  </si>
  <si>
    <t xml:space="preserve">Advocate locally in Atlanta and Online; sons will both be in Israel next year for school. Work to bring speakers and representatives to US communities for fund raising and education in support of the State of Israel. Advocate online in support and defense of Israel. Traveled to Israel in January 2024 with WZO on a solidarity mission. Jewish Bar Association was founded in Winter of 2023 here in Atlanta. Identfying antisemites with platforms and challenging them locally and through the Georgia Bar. </t>
  </si>
  <si>
    <t>Rachael</t>
  </si>
  <si>
    <t>Justine Brooke Murray</t>
  </si>
  <si>
    <t>Interviewing</t>
  </si>
  <si>
    <t>Darren</t>
  </si>
  <si>
    <t>Indicated Interest</t>
  </si>
  <si>
    <t>Tila Falic Levi (?)</t>
  </si>
  <si>
    <t>Tuly</t>
  </si>
  <si>
    <t>Kayla Gubov</t>
  </si>
  <si>
    <t>Elisha Paul</t>
  </si>
  <si>
    <t>Donor</t>
  </si>
  <si>
    <t xml:space="preserve">Shlomo Skaist </t>
  </si>
  <si>
    <t xml:space="preserve">Irma Fralic  </t>
  </si>
  <si>
    <t>Erielle Davidson</t>
  </si>
  <si>
    <t>arthur@lucracapital.com</t>
  </si>
  <si>
    <t>Everything I do is pro-Israel, from writing curriculum to going to rallies. She is still committed, works with Stand With Us, and has deep experience in Jewish education</t>
  </si>
  <si>
    <t>Zachary Silver</t>
  </si>
  <si>
    <t>Adam Winston</t>
  </si>
  <si>
    <t>marissas@prageru.com</t>
  </si>
  <si>
    <t>Tarzana</t>
  </si>
  <si>
    <t>CEO</t>
  </si>
  <si>
    <t>As CEO of PragerU I've created a short documentary and interviewed many people for my show, Advised us to use her "Chief Zionist Officer", Sam Levine, work with him on our wishlist and he will bring it to her to approve</t>
  </si>
  <si>
    <t>Julian Weiss</t>
  </si>
  <si>
    <t>weiss.js43@gmail.com</t>
  </si>
  <si>
    <t xml:space="preserve">Jewish Advocacy and Policy </t>
  </si>
  <si>
    <t>I founded my own organization, the Society of Jewish Scholars, as a unapologetically Zionist club for DC university students focused on Jewish history and changing the narrative inside academia. My favorite event I hosted for this was an interview with a Shoah Survivor and IDF soldier, Sami Steigmann, who I have helped in getting interviews since. I was on the board of my universities Students Supporting Israel (SSI) on October 7, and won an award from the National Organization for our immediate response. I also run two Israel-focused WhatsApp pages.   I worked for and continue to work with (on a freelance basis) the Coalition for Jewish Values, fighting to support Israel and especially Judea and Samaria in Congress. I currently work for the American Jewish Committee as a fellow working on diplomacy between Israel and Arab states. I have been an active supporter of Israel365, am a member of Keep G-ds Land, and have been a long-time friend of a Judea and Samaria based organization called HaYovel. I also helped a group called Christian Friends of Israeli Communities - CFOIC - do an event near my home in Ohio. I worked and still give tips to an organization called CAMERA - which focuses on fighting anti-Israel bias in media - and am going to be helping a group called CUFI - Christians United for Israel - in the coming year. I have also given helped write articles for two pro-Israel blogs, ElderofZiyon and Israellycool. I have volunteered on four campaigns US electoral campaigns - 3 with AIPAC, 1 to fight Jaamaal Bowmann in 2020, before even AIPAC became interested. I could go on, and am happy to do so if there is interest.</t>
  </si>
  <si>
    <t>Susan Lebovitz-Edelman</t>
  </si>
  <si>
    <t>suzy@edelmanfamilyfoundation.org</t>
  </si>
  <si>
    <t>Mistermornings23@gmail.com</t>
  </si>
  <si>
    <t>Queens</t>
  </si>
  <si>
    <t>Radio Talk Show Host</t>
  </si>
  <si>
    <t>Lauren Tennenbaum</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</si>
  <si>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</si>
  <si>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judahonickman@gmail.com</t>
  </si>
  <si>
    <t>Woodmere</t>
  </si>
  <si>
    <t>Influencer</t>
  </si>
  <si>
    <t>Mindy Franklin</t>
  </si>
  <si>
    <t>Left Voicemail</t>
  </si>
  <si>
    <t>franklin.mindy@gmail.com</t>
  </si>
  <si>
    <t>Scottsdale</t>
  </si>
  <si>
    <t>AZ</t>
  </si>
  <si>
    <t>Reuven Pittenger</t>
  </si>
  <si>
    <t>rmp@pittenger.com</t>
  </si>
  <si>
    <t>Jerusalem</t>
  </si>
  <si>
    <t>ISL</t>
  </si>
  <si>
    <t>Real Estate Investor</t>
  </si>
  <si>
    <t>Hebron supporter, Donor to Gush Etzion expansion, connected politically in the U.S.,  Chair of Investing network of YPO CEOs, can help make fundraising calls</t>
  </si>
  <si>
    <t>Josh Wander</t>
  </si>
  <si>
    <t>jwander@verizon.net</t>
  </si>
  <si>
    <t>Gibsonia</t>
  </si>
  <si>
    <t>Joseph Borgen</t>
  </si>
  <si>
    <t>victim of antisemitic attack in Texas at his college, nearly died from the attack</t>
  </si>
  <si>
    <t>Lives in Atlanta but travels most of the year and is flexible, significant investor according to Rabbi Elisha Paul, can help with operations, can try to help raise money, he himself can commit $5-7k</t>
  </si>
  <si>
    <t>Michael Barclay</t>
  </si>
  <si>
    <t>Shoshana Wasker</t>
  </si>
  <si>
    <t>Jordan Rosenfeld</t>
  </si>
  <si>
    <t>jordanrosenfeld@verizon.net</t>
  </si>
  <si>
    <t>Hewlett</t>
  </si>
  <si>
    <t>Retired Teacher</t>
  </si>
  <si>
    <t>Intellectual, making aliyah, very committed, history teacher, available to help GOTV and anything we need, knows a lot of zionists</t>
  </si>
  <si>
    <t>Deena Jonas</t>
  </si>
  <si>
    <t>jonasdeena@gmail.com</t>
  </si>
  <si>
    <t>Denver</t>
  </si>
  <si>
    <t>CO</t>
  </si>
  <si>
    <t>Retired Attorney</t>
  </si>
  <si>
    <t>RJC.  StandwithUs  Wexner Heritage Alumn</t>
  </si>
  <si>
    <t>jack@leasenofee.com</t>
  </si>
  <si>
    <t>Investment Director</t>
  </si>
  <si>
    <t>Zack Rich</t>
  </si>
  <si>
    <t>Eda Shottenstein</t>
  </si>
  <si>
    <t>Educational program development showing Israel in a positive light</t>
  </si>
  <si>
    <t>President of Keneseth Beth Israel Synagogue</t>
  </si>
  <si>
    <t>Shlomo</t>
  </si>
  <si>
    <t xml:space="preserve">Development of US -- Israel positive media/ grandmother in titanic . Loving hands at home- </t>
  </si>
  <si>
    <t>Still Need to Gauge Interest</t>
  </si>
  <si>
    <t>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t>
  </si>
  <si>
    <t>Brielle Appelbaum</t>
  </si>
  <si>
    <t>Daniella Azrad</t>
  </si>
  <si>
    <t>daniellaazrad@hotmail.com</t>
  </si>
  <si>
    <t>Miami Beach</t>
  </si>
  <si>
    <t>Arielle Boloker</t>
  </si>
  <si>
    <t xml:space="preserve">wrote an article in Israel365 - ....Russian American Jew </t>
  </si>
  <si>
    <t xml:space="preserve"> Involved in       Israel 365, AIPAC, has MBA and experience in finance, involved in the orthodox community </t>
  </si>
  <si>
    <t>Alexa Cohen</t>
  </si>
  <si>
    <t>David Shottenstein</t>
  </si>
  <si>
    <t>Randy Gorlano</t>
  </si>
  <si>
    <t>mgorlano@sbcglobal.net</t>
  </si>
  <si>
    <t>Boca Raton</t>
  </si>
  <si>
    <t>Retired</t>
  </si>
  <si>
    <t>Does fundraising for autism, owns a yoga studio, friends with Michelle (jexit), can spread the word to her Chabad</t>
  </si>
  <si>
    <t>Joseph Blechner</t>
  </si>
  <si>
    <t>josephblechner@gmail.com</t>
  </si>
  <si>
    <t>miami beach</t>
  </si>
  <si>
    <t>Not Viable Candidate</t>
  </si>
  <si>
    <t>Alpert</t>
  </si>
  <si>
    <t>David Cathers</t>
  </si>
  <si>
    <t>Tracey Auspitz</t>
  </si>
  <si>
    <t>auspitztracey@gmail.com</t>
  </si>
  <si>
    <t>juliabkurzrock@gmail.com</t>
  </si>
  <si>
    <t>Thomas Brown</t>
  </si>
  <si>
    <t>thomaskbrown18@gmail.com</t>
  </si>
  <si>
    <t xml:space="preserve">Dan Israel  </t>
  </si>
  <si>
    <t>dan@reptilestorytelling.com</t>
  </si>
  <si>
    <t>Dunwoody</t>
  </si>
  <si>
    <t>ebarcohana@gmail.com</t>
  </si>
  <si>
    <t>Yakov Cohn</t>
  </si>
  <si>
    <t>Yakovcohn@gmail.com</t>
  </si>
  <si>
    <t>Airmont</t>
  </si>
  <si>
    <t>jonathan bellows</t>
  </si>
  <si>
    <t>jbellows@jjequities.com</t>
  </si>
  <si>
    <t>Skokie</t>
  </si>
  <si>
    <t>Rosaline Barron</t>
  </si>
  <si>
    <t>rosbarronmd18@aol.com</t>
  </si>
  <si>
    <t>Springfield</t>
  </si>
  <si>
    <t>Harold Cohen</t>
  </si>
  <si>
    <t>harry.cohen@richmond.edu</t>
  </si>
  <si>
    <t>North Bay Village</t>
  </si>
  <si>
    <t>Malka Belzberg</t>
  </si>
  <si>
    <t>malkabelzberg@gmail.com</t>
  </si>
  <si>
    <t>Jennifer Berg</t>
  </si>
  <si>
    <t>jennyann2813@yahoo.com</t>
  </si>
  <si>
    <t>Nini Berger</t>
  </si>
  <si>
    <t>nberger@moriahschool.org</t>
  </si>
  <si>
    <t>Teaneck</t>
  </si>
  <si>
    <t>Joshua Corcos</t>
  </si>
  <si>
    <t>Eric Benaim</t>
  </si>
  <si>
    <t>ericb555@aol.com</t>
  </si>
  <si>
    <t>Long Island city</t>
  </si>
  <si>
    <t>Leona Binnfeld</t>
  </si>
  <si>
    <t>leona.blustein@gmail.com</t>
  </si>
  <si>
    <t>Wynnewood</t>
  </si>
  <si>
    <t>Ilya Birman</t>
  </si>
  <si>
    <t>ilya.birman@gmail.com</t>
  </si>
  <si>
    <t>Sean Culley</t>
  </si>
  <si>
    <t>sean.culley27@gmail.com</t>
  </si>
  <si>
    <t>Moseley</t>
  </si>
  <si>
    <t>Avi Biton</t>
  </si>
  <si>
    <t>avi8it0n@gmail.com</t>
  </si>
  <si>
    <t>Valley Stream</t>
  </si>
  <si>
    <t>Barbara Bitran</t>
  </si>
  <si>
    <t>bbitran@aol.com</t>
  </si>
  <si>
    <t>Mauricio Bitran</t>
  </si>
  <si>
    <t>barbara.bitran@gmail.com</t>
  </si>
  <si>
    <t>Abbe Blumenthal</t>
  </si>
  <si>
    <t>abbe1818@gmail.com</t>
  </si>
  <si>
    <t>Lawrence</t>
  </si>
  <si>
    <t>david boloker</t>
  </si>
  <si>
    <t>dboloker@gmail.com</t>
  </si>
  <si>
    <t>Ari Falkner</t>
  </si>
  <si>
    <t>Elizabeth Bram</t>
  </si>
  <si>
    <t>eab@brammynyc.com</t>
  </si>
  <si>
    <t>Bay Harbor Islands</t>
  </si>
  <si>
    <t>Aaron Dahan</t>
  </si>
  <si>
    <t>dahanaaron@gmail.com</t>
  </si>
  <si>
    <t>David Calechman</t>
  </si>
  <si>
    <t>dcalechman@gmail.com</t>
  </si>
  <si>
    <t>Spokane</t>
  </si>
  <si>
    <t>Shira Cheplowitz</t>
  </si>
  <si>
    <t>shirachep@yahoo.com</t>
  </si>
  <si>
    <t>Sherry Freidman</t>
  </si>
  <si>
    <t>Sherrychamp26@aol.com</t>
  </si>
  <si>
    <t>Lincolnwood</t>
  </si>
  <si>
    <t>Menahem Chukroon</t>
  </si>
  <si>
    <t>meny_chukroon@hotmail.com</t>
  </si>
  <si>
    <t>Anna Cohen</t>
  </si>
  <si>
    <t>aswcohen@gmail.com</t>
  </si>
  <si>
    <t>Hollywood</t>
  </si>
  <si>
    <t>Gayle Cohen</t>
  </si>
  <si>
    <t>gayle1013@icloud.com</t>
  </si>
  <si>
    <t>Pembroke Pines</t>
  </si>
  <si>
    <t>Richard Friedman</t>
  </si>
  <si>
    <t>Hannah Cohen</t>
  </si>
  <si>
    <t>Exeter</t>
  </si>
  <si>
    <t>NH</t>
  </si>
  <si>
    <t>Natan Cohen</t>
  </si>
  <si>
    <t>natan.m.cohen@gmail.com</t>
  </si>
  <si>
    <t>Zvi Cole</t>
  </si>
  <si>
    <t>zvicole@gmail.com</t>
  </si>
  <si>
    <t>Norwalk</t>
  </si>
  <si>
    <t>Gabriella Gomperts</t>
  </si>
  <si>
    <t>Joshua Commer</t>
  </si>
  <si>
    <t>landarchemt@aol.com</t>
  </si>
  <si>
    <t>REBECCA COOK</t>
  </si>
  <si>
    <t>YORK</t>
  </si>
  <si>
    <t>Elaine Chaya Daneshrad</t>
  </si>
  <si>
    <t>elaine@elainechaya.com</t>
  </si>
  <si>
    <t>Adam Goldman</t>
  </si>
  <si>
    <t>ag8366@nyu.edu</t>
  </si>
  <si>
    <t>Englewood</t>
  </si>
  <si>
    <t>Michael David</t>
  </si>
  <si>
    <t>michael.y.david@icloud.com</t>
  </si>
  <si>
    <t>Daniel Dayan</t>
  </si>
  <si>
    <t>dindush123@gmail.com</t>
  </si>
  <si>
    <t>Lauderhill</t>
  </si>
  <si>
    <t>Barry Diner</t>
  </si>
  <si>
    <t>barry.diner@gmail.com</t>
  </si>
  <si>
    <t>Houston</t>
  </si>
  <si>
    <t>Adena Hassan</t>
  </si>
  <si>
    <t>afellman2011@gmail.com</t>
  </si>
  <si>
    <t>Burbank</t>
  </si>
  <si>
    <t>Jessamyn Dodd</t>
  </si>
  <si>
    <t>jessymom@gmail.com</t>
  </si>
  <si>
    <t>Tucson</t>
  </si>
  <si>
    <t>Marlene Drori</t>
  </si>
  <si>
    <t>marlenedrori@yahoo.com</t>
  </si>
  <si>
    <t>HOLLYWOOD</t>
  </si>
  <si>
    <t>David Hassid</t>
  </si>
  <si>
    <t>Ephraim Epstein</t>
  </si>
  <si>
    <t>abbaeepstein@gmail.com</t>
  </si>
  <si>
    <t>Cherry Hill</t>
  </si>
  <si>
    <t>Jonathan Erlich</t>
  </si>
  <si>
    <t>jmerlich@gmail.com</t>
  </si>
  <si>
    <t>Judith Falk</t>
  </si>
  <si>
    <t>jpfalk1@yahoo.com</t>
  </si>
  <si>
    <t>Abraham Hirsch Colon</t>
  </si>
  <si>
    <t>abahirsch@gmail.com</t>
  </si>
  <si>
    <t>miriam fauth</t>
  </si>
  <si>
    <t>mmfauth@yahoo.com</t>
  </si>
  <si>
    <t>columbia</t>
  </si>
  <si>
    <t>NC</t>
  </si>
  <si>
    <t>Beverly Feldman</t>
  </si>
  <si>
    <t>bevtf@comcast.net</t>
  </si>
  <si>
    <t>Robert Gluck</t>
  </si>
  <si>
    <t>rgluck1@me.com</t>
  </si>
  <si>
    <t>Dix Hills</t>
  </si>
  <si>
    <t>Zeev Fayer</t>
  </si>
  <si>
    <t>Zeev7120@gmail.com</t>
  </si>
  <si>
    <t>MIAMI</t>
  </si>
  <si>
    <t>Laurence Feldman</t>
  </si>
  <si>
    <t>promomanpromos@gmail.com</t>
  </si>
  <si>
    <t>Granada Hills</t>
  </si>
  <si>
    <t>Ronald Fellman</t>
  </si>
  <si>
    <t>rdf@fellman.com</t>
  </si>
  <si>
    <t>San Diego</t>
  </si>
  <si>
    <t>Hadassah Hyam</t>
  </si>
  <si>
    <t>hadassahhyam@gmail.com</t>
  </si>
  <si>
    <t>Leslie Fellman</t>
  </si>
  <si>
    <t>lesliefellman@gmail.com</t>
  </si>
  <si>
    <t>Gabrielle Fellner</t>
  </si>
  <si>
    <t>gabbyfellner@gmail.com</t>
  </si>
  <si>
    <t>Bob Fenichel</t>
  </si>
  <si>
    <t>bob2200@aol.com</t>
  </si>
  <si>
    <t>Silver Spring</t>
  </si>
  <si>
    <t>Rochelle Kaltman</t>
  </si>
  <si>
    <t>Randy Fine</t>
  </si>
  <si>
    <t>randy@voterandyfine.com</t>
  </si>
  <si>
    <t>Melbourne Beach</t>
  </si>
  <si>
    <t>Hali Friehling</t>
  </si>
  <si>
    <t>halitara@me.com</t>
  </si>
  <si>
    <t>White Lake</t>
  </si>
  <si>
    <t>Kenneth Freedman</t>
  </si>
  <si>
    <t>kfreedman@mettel.net</t>
  </si>
  <si>
    <t>Mikhail Khanukayev</t>
  </si>
  <si>
    <t>mk1992.law@gmail.com</t>
  </si>
  <si>
    <t>Esther Frogel</t>
  </si>
  <si>
    <t>esther.frogel@gmail.com</t>
  </si>
  <si>
    <t>Olivia Fry</t>
  </si>
  <si>
    <t>kclawchiefs@gmail.com</t>
  </si>
  <si>
    <t>Leawood</t>
  </si>
  <si>
    <t>Norman Fried</t>
  </si>
  <si>
    <t>docnormny@aol.com</t>
  </si>
  <si>
    <t>Roslyn</t>
  </si>
  <si>
    <t>Mila Lavelle</t>
  </si>
  <si>
    <t>milalavelle@icloud.com</t>
  </si>
  <si>
    <t>Tampa</t>
  </si>
  <si>
    <t>Joshua Friedman</t>
  </si>
  <si>
    <t>joshfriedman79@gmail.com</t>
  </si>
  <si>
    <t>The Villages</t>
  </si>
  <si>
    <t>Levi Friedman</t>
  </si>
  <si>
    <t>Lfriedman@millsupplyco.com</t>
  </si>
  <si>
    <t>Larry Fry</t>
  </si>
  <si>
    <t>ldfry@fry-wagner.com</t>
  </si>
  <si>
    <t>Overland Park</t>
  </si>
  <si>
    <t>Rotem meersohn</t>
  </si>
  <si>
    <t>rotemmeersohn@gmail.com</t>
  </si>
  <si>
    <t>Daniel Fry</t>
  </si>
  <si>
    <t>dfry@fry-wagner.com</t>
  </si>
  <si>
    <t>Michele Fuld</t>
  </si>
  <si>
    <t>mushyfuld@gmail.com</t>
  </si>
  <si>
    <t>Barbara Gelman</t>
  </si>
  <si>
    <t>gelmanbarbara@gmail.com</t>
  </si>
  <si>
    <t>Philadelphia</t>
  </si>
  <si>
    <t>David Michaels</t>
  </si>
  <si>
    <t>Leonard Fuld</t>
  </si>
  <si>
    <t>lenfuld@gmail.com</t>
  </si>
  <si>
    <t>Aylin Gabbaizadeh</t>
  </si>
  <si>
    <t>asedighi31@yahoo.com</t>
  </si>
  <si>
    <t>Jeremy Gardner</t>
  </si>
  <si>
    <t>shlomogardner@gmail.com</t>
  </si>
  <si>
    <t>Klilah Mischel</t>
  </si>
  <si>
    <t>klilahmischel@gmail.com</t>
  </si>
  <si>
    <t>Robert Garson</t>
  </si>
  <si>
    <t>rg@gs2law.com</t>
  </si>
  <si>
    <t>Jessica Genet</t>
  </si>
  <si>
    <t>jessicajgenet@gmail.com</t>
  </si>
  <si>
    <t>Suzy Genet</t>
  </si>
  <si>
    <t>suzygenet@gmail.com</t>
  </si>
  <si>
    <t>Aventura</t>
  </si>
  <si>
    <t>Eliana Pasternak</t>
  </si>
  <si>
    <t>elianabpas@gmail.com</t>
  </si>
  <si>
    <t>Merion Station</t>
  </si>
  <si>
    <t>Larry Genet</t>
  </si>
  <si>
    <t>Larrygenet@gmail.com</t>
  </si>
  <si>
    <t>Jaime Glas</t>
  </si>
  <si>
    <t>jaime.glas7@gmail.com</t>
  </si>
  <si>
    <t>Saint James</t>
  </si>
  <si>
    <t>Batsheva Paul</t>
  </si>
  <si>
    <t>Daniella Glickman</t>
  </si>
  <si>
    <t>chailipollak@aol.com</t>
  </si>
  <si>
    <t>Mark Goldberg</t>
  </si>
  <si>
    <t>markgoldbergpmp@gmail.com</t>
  </si>
  <si>
    <t>Daniel Peck</t>
  </si>
  <si>
    <t>dan@danpeck.me</t>
  </si>
  <si>
    <t>Clifton</t>
  </si>
  <si>
    <t>Chavi Kahan</t>
  </si>
  <si>
    <t>cckahan@yahoo.com</t>
  </si>
  <si>
    <t>Phyllis Kaminsky</t>
  </si>
  <si>
    <t>phyllis.kaminsky@gmail.com</t>
  </si>
  <si>
    <t>daniel karten</t>
  </si>
  <si>
    <t>dkarten@gmail.com</t>
  </si>
  <si>
    <t>hollywood</t>
  </si>
  <si>
    <t>Benjamin Peretz</t>
  </si>
  <si>
    <t>beperetz@gmail.com</t>
  </si>
  <si>
    <t>Joel Katz</t>
  </si>
  <si>
    <t>MOTLJDKatz@gmail.com</t>
  </si>
  <si>
    <t>Morris Plains</t>
  </si>
  <si>
    <t>Yan Kerzhner</t>
  </si>
  <si>
    <t>yan.kerzhner@gmail.com</t>
  </si>
  <si>
    <t>Emanuel Rahmanan</t>
  </si>
  <si>
    <t>eman7686@gmail.com</t>
  </si>
  <si>
    <t>Greatneck</t>
  </si>
  <si>
    <t>Jennifer Kirschen</t>
  </si>
  <si>
    <t>jennifermkirschen@gmail.com</t>
  </si>
  <si>
    <t>Alpine</t>
  </si>
  <si>
    <t>Jason Koenig</t>
  </si>
  <si>
    <t>jkoenig@akingump.com</t>
  </si>
  <si>
    <t>Chappaqua</t>
  </si>
  <si>
    <t>Eugenie Kohanchi</t>
  </si>
  <si>
    <t>ebaskohan09@gmail.com</t>
  </si>
  <si>
    <t>Ariel Rahmanov</t>
  </si>
  <si>
    <t>arielrahmanov@kw.com</t>
  </si>
  <si>
    <t>Alex Koifman</t>
  </si>
  <si>
    <t>akoifman@yahoo.com</t>
  </si>
  <si>
    <t>newton</t>
  </si>
  <si>
    <t>Susan Kone</t>
  </si>
  <si>
    <t>SusanK789@aol.com</t>
  </si>
  <si>
    <t>Sheryl Kozberg</t>
  </si>
  <si>
    <t>sjkozberg@gmail.com</t>
  </si>
  <si>
    <t>Yaakov Rakofsky</t>
  </si>
  <si>
    <t>jacoblrakofsky@gmail.com</t>
  </si>
  <si>
    <t>Inwood</t>
  </si>
  <si>
    <t>Lev Kruglyakov</t>
  </si>
  <si>
    <t>levkrug@yahoo.com</t>
  </si>
  <si>
    <t>Elly Latinik</t>
  </si>
  <si>
    <t>elatinik@xcelmed.com</t>
  </si>
  <si>
    <t>Karin Lang</t>
  </si>
  <si>
    <t>karin.rachel.lang@gmail.com</t>
  </si>
  <si>
    <t>Sherman oaks</t>
  </si>
  <si>
    <t>yehuda rosenberg</t>
  </si>
  <si>
    <t>yehuda.rosenberg@gmail.com</t>
  </si>
  <si>
    <t>chicago</t>
  </si>
  <si>
    <t>Zelig Krymko Shmuelovich</t>
  </si>
  <si>
    <t>zeligkrymko@yahoo.com</t>
  </si>
  <si>
    <t>Lisette Lazinger-Tarragano</t>
  </si>
  <si>
    <t>shemesh6@comcast.net</t>
  </si>
  <si>
    <t>John Lebovits</t>
  </si>
  <si>
    <t>johnlebovits@gmail.com</t>
  </si>
  <si>
    <t>Gig Harbor</t>
  </si>
  <si>
    <t>Hillary Rothstein</t>
  </si>
  <si>
    <t>Dinah Leffert</t>
  </si>
  <si>
    <t>dinah@dinahleffert.net</t>
  </si>
  <si>
    <t>Danielle Leibovici</t>
  </si>
  <si>
    <t>Daniella@DaniellaBloom.com</t>
  </si>
  <si>
    <t>Northridge</t>
  </si>
  <si>
    <t>Lindsey Gordon</t>
  </si>
  <si>
    <t>lpearl79@gmail.com</t>
  </si>
  <si>
    <t>Mikayla Saunders</t>
  </si>
  <si>
    <t>saundersrm8@gmail.com</t>
  </si>
  <si>
    <t>Burlington</t>
  </si>
  <si>
    <t>VT</t>
  </si>
  <si>
    <t>Sofia Gordon</t>
  </si>
  <si>
    <t>gordon.sofia@gmail.com</t>
  </si>
  <si>
    <t>Passaic</t>
  </si>
  <si>
    <t>Henshi Gorodetsky</t>
  </si>
  <si>
    <t>Henshig@gmail.com</t>
  </si>
  <si>
    <t>Ken Greenberg</t>
  </si>
  <si>
    <t>ken@alertamerica.news</t>
  </si>
  <si>
    <t>Mount Sinai</t>
  </si>
  <si>
    <t>Beverly Sandler</t>
  </si>
  <si>
    <t>bevshoes1@yahoo.com</t>
  </si>
  <si>
    <t>Stanley Greenberg</t>
  </si>
  <si>
    <t>soldann@yahoo.com</t>
  </si>
  <si>
    <t>Steven Greenberg</t>
  </si>
  <si>
    <t>Steven.greenberg18@gmail.com</t>
  </si>
  <si>
    <t>Valerie Greenfeld</t>
  </si>
  <si>
    <t>vgreenfeld@icloud.com</t>
  </si>
  <si>
    <t>Frederick</t>
  </si>
  <si>
    <t>Daniella Schachtel</t>
  </si>
  <si>
    <t>dwirtschafter@icloud.com</t>
  </si>
  <si>
    <t>Francis Greenwall</t>
  </si>
  <si>
    <t>Ephraim1957@gmail.com</t>
  </si>
  <si>
    <t>MIAMI BEACH</t>
  </si>
  <si>
    <t>Lauren Gross</t>
  </si>
  <si>
    <t>LAGpalmbeach@gmail.com</t>
  </si>
  <si>
    <t>West Palm Beach</t>
  </si>
  <si>
    <t>Alexander Gutfraind</t>
  </si>
  <si>
    <t>agutfraind.research@gmail.com</t>
  </si>
  <si>
    <t>Allie Schnitzer</t>
  </si>
  <si>
    <t>allieschnitzer@gmail.com</t>
  </si>
  <si>
    <t>Darla Handler</t>
  </si>
  <si>
    <t>dhandler@embassyhealthcare.net</t>
  </si>
  <si>
    <t>Pepper Pike</t>
  </si>
  <si>
    <t>Gabrielle Hazan</t>
  </si>
  <si>
    <t>gabriellehazan@gmail.com</t>
  </si>
  <si>
    <t>Cardiff</t>
  </si>
  <si>
    <t>Moshe Herman</t>
  </si>
  <si>
    <t>moisheherman@gmail.com</t>
  </si>
  <si>
    <t>Boise</t>
  </si>
  <si>
    <t>ID</t>
  </si>
  <si>
    <t>Gabe Schlussel</t>
  </si>
  <si>
    <t>gabe.schlussel@gmail.com</t>
  </si>
  <si>
    <t>Evan Hershenson</t>
  </si>
  <si>
    <t>evan@frenchiemc.com</t>
  </si>
  <si>
    <t>Tova Herskovitz</t>
  </si>
  <si>
    <t>tova@thebrandingstylist.com</t>
  </si>
  <si>
    <t>Toms River</t>
  </si>
  <si>
    <t>Marc Hess</t>
  </si>
  <si>
    <t>marcrhess@hotmail.com</t>
  </si>
  <si>
    <t>CHERRY HILL</t>
  </si>
  <si>
    <t>Debbi Schapiro</t>
  </si>
  <si>
    <t>jlsendo@bellsouth.net</t>
  </si>
  <si>
    <t>Parkland</t>
  </si>
  <si>
    <t>Elaine Hirsch</t>
  </si>
  <si>
    <t>elaine.hirsch@gmail.com</t>
  </si>
  <si>
    <t>Marni Hockenberg</t>
  </si>
  <si>
    <t>Marni@hockenbergsearch.com</t>
  </si>
  <si>
    <t>Des Moines</t>
  </si>
  <si>
    <t>IA</t>
  </si>
  <si>
    <t>Andrew Hodes</t>
  </si>
  <si>
    <t>ahodes817@gmail.com</t>
  </si>
  <si>
    <t>Maura Schreier Fleming</t>
  </si>
  <si>
    <t>maurasf@gmail.com</t>
  </si>
  <si>
    <t>Brittney Hopper</t>
  </si>
  <si>
    <t>brittneyhopper@icloud.com</t>
  </si>
  <si>
    <t>Stacey Horcher</t>
  </si>
  <si>
    <t>staceypedrick@gmail.com</t>
  </si>
  <si>
    <t>Wheeling</t>
  </si>
  <si>
    <t>Lee Howard</t>
  </si>
  <si>
    <t>gerelee@gmail.com</t>
  </si>
  <si>
    <t>Corte Madera</t>
  </si>
  <si>
    <t>Julia Shlyankevich</t>
  </si>
  <si>
    <t>jshlyankevich@gmail.com</t>
  </si>
  <si>
    <t>Gregory Hwnig</t>
  </si>
  <si>
    <t>ghesq4@aol.com</t>
  </si>
  <si>
    <t>Holbrook</t>
  </si>
  <si>
    <t>Stella Inger</t>
  </si>
  <si>
    <t>stellainger@yahoo.com</t>
  </si>
  <si>
    <t>Wendy Jacobson</t>
  </si>
  <si>
    <t>wsjltd@aol.com</t>
  </si>
  <si>
    <t>Barrington</t>
  </si>
  <si>
    <t>RI</t>
  </si>
  <si>
    <t>David Shokrian</t>
  </si>
  <si>
    <t>dshokrian1@gmail.com</t>
  </si>
  <si>
    <t>Isabelle Miller</t>
  </si>
  <si>
    <t>miller.isabelle19004@gmail.com</t>
  </si>
  <si>
    <t>Bala Cynwyd</t>
  </si>
  <si>
    <t>Shayna Siecienski</t>
  </si>
  <si>
    <t>shaynaski28@gmail.com</t>
  </si>
  <si>
    <t>Cromwell</t>
  </si>
  <si>
    <t>David Mindell</t>
  </si>
  <si>
    <t>mindelld@gmail.com</t>
  </si>
  <si>
    <t>Ethan Moskovic</t>
  </si>
  <si>
    <t>emoskovic101@gmail.com</t>
  </si>
  <si>
    <t>Marnie Nadolne</t>
  </si>
  <si>
    <t>mnadolne@gmail.com</t>
  </si>
  <si>
    <t>Roswell</t>
  </si>
  <si>
    <t>Nachum Silver</t>
  </si>
  <si>
    <t>nachumsilver@gmail.com</t>
  </si>
  <si>
    <t>Paul Naftali</t>
  </si>
  <si>
    <t>paulnaft@gmail.com</t>
  </si>
  <si>
    <t>Sunny Isles Beach</t>
  </si>
  <si>
    <t>Ilissa Nelsen</t>
  </si>
  <si>
    <t>ilissanelsen@gmail.com</t>
  </si>
  <si>
    <t>Eldersburg</t>
  </si>
  <si>
    <t>jay nimaroff</t>
  </si>
  <si>
    <t>jaynima@aol.com</t>
  </si>
  <si>
    <t>Long Branch</t>
  </si>
  <si>
    <t>Rebecca Skaist</t>
  </si>
  <si>
    <t>rebecca.skaist@gmail.com</t>
  </si>
  <si>
    <t>Sam Nitka</t>
  </si>
  <si>
    <t>samhnitka@gmail.com</t>
  </si>
  <si>
    <t>Deal</t>
  </si>
  <si>
    <t>Robert Norris</t>
  </si>
  <si>
    <t>rcnorris48@gmail.com</t>
  </si>
  <si>
    <t>Diana Novik</t>
  </si>
  <si>
    <t>die.ana@gmail.com</t>
  </si>
  <si>
    <t>Brighton</t>
  </si>
  <si>
    <t>BREE SLAUSCIUS</t>
  </si>
  <si>
    <t>breeslauscius@gmail.com</t>
  </si>
  <si>
    <t>Greer</t>
  </si>
  <si>
    <t>SC</t>
  </si>
  <si>
    <t>Laura Paley</t>
  </si>
  <si>
    <t>lfpaley@yahoo.com</t>
  </si>
  <si>
    <t>Paramus</t>
  </si>
  <si>
    <t>Steven Paley</t>
  </si>
  <si>
    <t>spaley@acajoux.com</t>
  </si>
  <si>
    <t>Michelle Pasternak</t>
  </si>
  <si>
    <t>7michie7@gmail.com</t>
  </si>
  <si>
    <t>MERION STATION</t>
  </si>
  <si>
    <t>Adam soleymani</t>
  </si>
  <si>
    <t>adamsoleymani@gmail.com</t>
  </si>
  <si>
    <t>skokie</t>
  </si>
  <si>
    <t>Eyal Peretz</t>
  </si>
  <si>
    <t>eyalperetzus@gmail.com</t>
  </si>
  <si>
    <t>Dorothy portnoy</t>
  </si>
  <si>
    <t>Jaiden Stern</t>
  </si>
  <si>
    <t>jaidenisaac@icloud.com</t>
  </si>
  <si>
    <t>Jacob Polichenco</t>
  </si>
  <si>
    <t>latinrabbi@gmail.com</t>
  </si>
  <si>
    <t>Donna Pradith</t>
  </si>
  <si>
    <t>dpradith@outlook.com</t>
  </si>
  <si>
    <t>Hackettstown</t>
  </si>
  <si>
    <t>Yuri Tarasula</t>
  </si>
  <si>
    <t>ytarasula@gmail.com</t>
  </si>
  <si>
    <t>Framingham</t>
  </si>
  <si>
    <t>Shaya preiserowicz</t>
  </si>
  <si>
    <t>spreiserowicz@yahoo.com</t>
  </si>
  <si>
    <t>Kim Presser</t>
  </si>
  <si>
    <t>kpresser2003@gmail.com</t>
  </si>
  <si>
    <t>Plantation</t>
  </si>
  <si>
    <t>Andrew Pessin</t>
  </si>
  <si>
    <t>aspess12@gmail.com</t>
  </si>
  <si>
    <t>Providence</t>
  </si>
  <si>
    <t>Trenton Terry</t>
  </si>
  <si>
    <t>trentonterry8@gmail.com</t>
  </si>
  <si>
    <t>Elishama Puller</t>
  </si>
  <si>
    <t>eli.puller@gmail.com</t>
  </si>
  <si>
    <t>Lubbock</t>
  </si>
  <si>
    <t>Howard Rabinowitz</t>
  </si>
  <si>
    <t>h.rabinowitz@aol.com</t>
  </si>
  <si>
    <t>Alona Reese</t>
  </si>
  <si>
    <t>alonainhawaii@gmail.com</t>
  </si>
  <si>
    <t>Prescott</t>
  </si>
  <si>
    <t>Sarah-Leah Thompson</t>
  </si>
  <si>
    <t>sleah.thompson@gmail.com</t>
  </si>
  <si>
    <t>Elimelech Ray</t>
  </si>
  <si>
    <t>eliray1@gmail.com</t>
  </si>
  <si>
    <t>Zachary Riback</t>
  </si>
  <si>
    <t>zlr@zlrlaw.com</t>
  </si>
  <si>
    <t>FORT LAUDERDALE</t>
  </si>
  <si>
    <t>alan robbins</t>
  </si>
  <si>
    <t>alerob1954@gmail.com</t>
  </si>
  <si>
    <t>Tziporah Thompson</t>
  </si>
  <si>
    <t>tziporah@gmail.com</t>
  </si>
  <si>
    <t>Eric Roizman</t>
  </si>
  <si>
    <t>ericroizman@gmail.com</t>
  </si>
  <si>
    <t>burbank</t>
  </si>
  <si>
    <t>Liz Rose</t>
  </si>
  <si>
    <t>jewishlyliz@gmail.com</t>
  </si>
  <si>
    <t>Steven Rosenberg</t>
  </si>
  <si>
    <t>stevenbr99@gmail.com</t>
  </si>
  <si>
    <t>Dustin Tropp</t>
  </si>
  <si>
    <t>dustintropp@gmail.com</t>
  </si>
  <si>
    <t>Austin</t>
  </si>
  <si>
    <t>Stacey Sager</t>
  </si>
  <si>
    <t>staceysager@gmail.com</t>
  </si>
  <si>
    <t>Derek Saker</t>
  </si>
  <si>
    <t>dereksaker@gmail.com</t>
  </si>
  <si>
    <t>Ira Savetsky</t>
  </si>
  <si>
    <t>irasavetsky@gmail.com</t>
  </si>
  <si>
    <t>Kyle Tubian</t>
  </si>
  <si>
    <t>ktubian26@gmail.com</t>
  </si>
  <si>
    <t>Andrea Schleider</t>
  </si>
  <si>
    <t>andreaschleider@hotmail.com</t>
  </si>
  <si>
    <t>marcie schneider</t>
  </si>
  <si>
    <t>mschneidermd@gmail.com</t>
  </si>
  <si>
    <t>ardsley</t>
  </si>
  <si>
    <t>Guy Vegon</t>
  </si>
  <si>
    <t>vegonparty@gmail.com</t>
  </si>
  <si>
    <t>Robin Schuldenfrei</t>
  </si>
  <si>
    <t>robinbeth59@gmail.com</t>
  </si>
  <si>
    <t>Box Elder</t>
  </si>
  <si>
    <t>SD</t>
  </si>
  <si>
    <t>Olivia Schwartz</t>
  </si>
  <si>
    <t>olivia@chaicenter.org</t>
  </si>
  <si>
    <t>Shaindee Weisz</t>
  </si>
  <si>
    <t>shaindeeweisz@gmail.com</t>
  </si>
  <si>
    <t>Rachael Schwartz</t>
  </si>
  <si>
    <t>rachael.e.schwartz12@gmail.com</t>
  </si>
  <si>
    <t>Sunrise</t>
  </si>
  <si>
    <t>Susan Schwartz</t>
  </si>
  <si>
    <t>heysuzyschwartz@yahoo.com</t>
  </si>
  <si>
    <t>Mimi-Yael Seleski</t>
  </si>
  <si>
    <t>mseleski7@aol.com</t>
  </si>
  <si>
    <t>Bella Weisz</t>
  </si>
  <si>
    <t>ruchamabelladanya123@gmail.com</t>
  </si>
  <si>
    <t>samuel Seleski</t>
  </si>
  <si>
    <t>Sam.seleski@sbcglobal.com</t>
  </si>
  <si>
    <t>Svetlana Shaknovich</t>
  </si>
  <si>
    <t>Sshaknovich@yahoo.com</t>
  </si>
  <si>
    <t>Brookline</t>
  </si>
  <si>
    <t>Kenny Shamus</t>
  </si>
  <si>
    <t>wizkenny@aol.com</t>
  </si>
  <si>
    <t>Demarest</t>
  </si>
  <si>
    <t>Amanda Yakobovits</t>
  </si>
  <si>
    <t>amanda@dezco.ca</t>
  </si>
  <si>
    <t>Zippy Shmuely</t>
  </si>
  <si>
    <t>zippyshmuely@yahoo.com</t>
  </si>
  <si>
    <t>North Miami Beach</t>
  </si>
  <si>
    <t>barry/efryim shore</t>
  </si>
  <si>
    <t>barry@barryshore.com</t>
  </si>
  <si>
    <t>HENDERSON</t>
  </si>
  <si>
    <t>NV</t>
  </si>
  <si>
    <t>Ilana Siegelman</t>
  </si>
  <si>
    <t>ilanadorallc@gmail.com</t>
  </si>
  <si>
    <t>Colchester</t>
  </si>
  <si>
    <t>Jacob Zwiebel</t>
  </si>
  <si>
    <t>jacobzwiebel4@gmail.com</t>
  </si>
  <si>
    <t>Raphaela Stern</t>
  </si>
  <si>
    <t>raphaelastern@me.com</t>
  </si>
  <si>
    <t>Marilyn Stern</t>
  </si>
  <si>
    <t>sternmarilyn@gmail.com</t>
  </si>
  <si>
    <t>Akiva Lessin</t>
  </si>
  <si>
    <t>akivalessin@gmail.com</t>
  </si>
  <si>
    <t>Linda Stoch</t>
  </si>
  <si>
    <t>linstoch@me.com</t>
  </si>
  <si>
    <t>Palm BeachGardens</t>
  </si>
  <si>
    <t>Richard Stern</t>
  </si>
  <si>
    <t>rstern@nyu.edu</t>
  </si>
  <si>
    <t>Daniel Lifton</t>
  </si>
  <si>
    <t>danielmlifton@gmail.com</t>
  </si>
  <si>
    <t>Keren Toledano</t>
  </si>
  <si>
    <t>info@kerentoledano.com</t>
  </si>
  <si>
    <t>Vanessa Tamari</t>
  </si>
  <si>
    <t>Esqvanessa@yahoo.com</t>
  </si>
  <si>
    <t>Todd Stern</t>
  </si>
  <si>
    <t>tstern@seasons.org</t>
  </si>
  <si>
    <t>Aaron Lindenbaum</t>
  </si>
  <si>
    <t>ajlindy1@gmail.com</t>
  </si>
  <si>
    <t>David Storch</t>
  </si>
  <si>
    <t>dps@arisecp.com</t>
  </si>
  <si>
    <t>Palm Beach Gardens</t>
  </si>
  <si>
    <t>Max Stesel</t>
  </si>
  <si>
    <t>max@pritokcapital.com</t>
  </si>
  <si>
    <t>Baron Tayler</t>
  </si>
  <si>
    <t>baron@barontayler.com</t>
  </si>
  <si>
    <t>Kyra Lozow</t>
  </si>
  <si>
    <t>kyralozow@gmail.com</t>
  </si>
  <si>
    <t>Ilona Trokel</t>
  </si>
  <si>
    <t>itrokel@yahoo.com</t>
  </si>
  <si>
    <t>Ariel Tayler-Smith</t>
  </si>
  <si>
    <t>arielivy24@gmail.com</t>
  </si>
  <si>
    <t>Ludowici</t>
  </si>
  <si>
    <t>Lindsey Vine</t>
  </si>
  <si>
    <t>lindsey.biology@me.com</t>
  </si>
  <si>
    <t>Lloyd harbor</t>
  </si>
  <si>
    <t>Luis Margalit</t>
  </si>
  <si>
    <t>luismargalit@gmail.com</t>
  </si>
  <si>
    <t>Pinchas Taylor</t>
  </si>
  <si>
    <t>pinchastaylor770@gmail.com</t>
  </si>
  <si>
    <t>Shmuel Tenenbaum</t>
  </si>
  <si>
    <t>mftrabbi@gmail.com</t>
  </si>
  <si>
    <t>CHICAGO</t>
  </si>
  <si>
    <t>Alyssa Margalit</t>
  </si>
  <si>
    <t>alyssamariecolon@gmail.com</t>
  </si>
  <si>
    <t>Ilana Weinstein</t>
  </si>
  <si>
    <t>iweinstein1234@gmail.com</t>
  </si>
  <si>
    <t>Andriy Usenko</t>
  </si>
  <si>
    <t>jpevent76@gmail.com</t>
  </si>
  <si>
    <t>Eliyahu Masinter</t>
  </si>
  <si>
    <t>eliyahumasinter@gmail.com</t>
  </si>
  <si>
    <t>Samuel Thompson</t>
  </si>
  <si>
    <t>samuelarthompson@gmail.com</t>
  </si>
  <si>
    <t>Natalie Wohl</t>
  </si>
  <si>
    <t>nwohl@comcast.net</t>
  </si>
  <si>
    <t>David Von Samek</t>
  </si>
  <si>
    <t>davidsamek@gmail.com</t>
  </si>
  <si>
    <t>Jay Waldman</t>
  </si>
  <si>
    <t>jaywaldman@outlook.com</t>
  </si>
  <si>
    <t>Miami beach</t>
  </si>
  <si>
    <t>Rabbi Dr. Noam Weinberg</t>
  </si>
  <si>
    <t>weinberg.noam@gmail.com</t>
  </si>
  <si>
    <t>Scott Weinblatt</t>
  </si>
  <si>
    <t>patois09hangar@icloud.com</t>
  </si>
  <si>
    <t>West Caldwell</t>
  </si>
  <si>
    <t>Matthew Tyrmand</t>
  </si>
  <si>
    <t>mtyrmand@gmail.com</t>
  </si>
  <si>
    <t>David Weiss</t>
  </si>
  <si>
    <t>DnathanWeiss@gmail.com</t>
  </si>
  <si>
    <t>Barry Wernick</t>
  </si>
  <si>
    <t>bazza@barrywernick.com</t>
  </si>
  <si>
    <t>Louis Yoelin</t>
  </si>
  <si>
    <t>lyoelin@gmail.com</t>
  </si>
  <si>
    <t>La Grange Park</t>
  </si>
  <si>
    <t>Paulette Yousefzadeh</t>
  </si>
  <si>
    <t>Paully_12@yahoo.com</t>
  </si>
  <si>
    <t>Linda Zakheim</t>
  </si>
  <si>
    <t>lindazakheim@aol.com</t>
  </si>
  <si>
    <t>Ft Laud</t>
  </si>
  <si>
    <t>Courtney Bednyak</t>
  </si>
  <si>
    <t>cbednyak@gmail.com</t>
  </si>
  <si>
    <t>Highland park</t>
  </si>
  <si>
    <t>Jodi Schwartz</t>
  </si>
  <si>
    <t>jodi@jodischwartzusa.com</t>
  </si>
  <si>
    <t>Daphne Soclof</t>
  </si>
  <si>
    <t>daphnesoclof@gmail.com</t>
  </si>
  <si>
    <t>Miriam Levinger</t>
  </si>
  <si>
    <t>luvingers@yahoo.com</t>
  </si>
  <si>
    <t>William Levinson</t>
  </si>
  <si>
    <t>wlevinson@verizon.net</t>
  </si>
  <si>
    <t>Wilkes Barre</t>
  </si>
  <si>
    <t>Yaron Levy</t>
  </si>
  <si>
    <t>yaron.levyny@gmail.com</t>
  </si>
  <si>
    <t>Aliza Licht</t>
  </si>
  <si>
    <t>aliza@alizalicht.com</t>
  </si>
  <si>
    <t>Bob Lipstein</t>
  </si>
  <si>
    <t>rlipstein@me.com</t>
  </si>
  <si>
    <t>Amichai Lourie</t>
  </si>
  <si>
    <t>ami@shilohwinery.com</t>
  </si>
  <si>
    <t>Vicki Lurie</t>
  </si>
  <si>
    <t>Vslurie@gmail.com</t>
  </si>
  <si>
    <t>Rye Brook</t>
  </si>
  <si>
    <t>Martin Lurie</t>
  </si>
  <si>
    <t>ojs@lurie.biz</t>
  </si>
  <si>
    <t>Caleb Lyons</t>
  </si>
  <si>
    <t>caleblyons@me.com</t>
  </si>
  <si>
    <t>Joel M Slabo</t>
  </si>
  <si>
    <t>joelslabo@hotmail.com</t>
  </si>
  <si>
    <t>LOS ANGELES</t>
  </si>
  <si>
    <t>Andrew Mainz</t>
  </si>
  <si>
    <t>drew11920@gmail.com</t>
  </si>
  <si>
    <t>Germantown</t>
  </si>
  <si>
    <t>David Malka</t>
  </si>
  <si>
    <t>dmalka26@gmail.com</t>
  </si>
  <si>
    <t>Culver City</t>
  </si>
  <si>
    <t>Charlene Marcus</t>
  </si>
  <si>
    <t>shayna06@sbcglobal.net</t>
  </si>
  <si>
    <t>sruly markowitz</t>
  </si>
  <si>
    <t>worldpants@gmail.com</t>
  </si>
  <si>
    <t>Ruth Mastron</t>
  </si>
  <si>
    <t>ruth.mastron@gmail.com</t>
  </si>
  <si>
    <t>Oceanside</t>
  </si>
  <si>
    <t>ELLIOT MATLOFF</t>
  </si>
  <si>
    <t>ELLIOT@MATLOFFCOMPANY.COM</t>
  </si>
  <si>
    <t>BEVERLY HILLS</t>
  </si>
  <si>
    <t>Owner</t>
  </si>
  <si>
    <t>1. Signed NDA</t>
  </si>
  <si>
    <t>2. By Laws Emailed</t>
  </si>
  <si>
    <t>3. Survey Complete</t>
  </si>
  <si>
    <t>NDA Signed</t>
  </si>
  <si>
    <t>Jonathan Silverman</t>
  </si>
  <si>
    <t xml:space="preserve"> Shoshana Wasker</t>
  </si>
  <si>
    <t>Chaya Leah Carlsen</t>
  </si>
  <si>
    <t>Ashira Solomon</t>
  </si>
  <si>
    <t>Stacey Burke</t>
  </si>
  <si>
    <t>Sloan Rachmuth</t>
  </si>
  <si>
    <t>NDA Sent</t>
  </si>
  <si>
    <t>Lola Kostrzewski</t>
  </si>
  <si>
    <t>Yehudah Pryce</t>
  </si>
  <si>
    <t>itr</t>
  </si>
  <si>
    <t>NAME</t>
  </si>
  <si>
    <t>MEDIA ROLE</t>
  </si>
  <si>
    <t>INSTAGRAM</t>
  </si>
  <si>
    <t>X</t>
  </si>
  <si>
    <t>PODCAST</t>
  </si>
  <si>
    <t>CONTENT CREATION</t>
  </si>
  <si>
    <t>PHONE</t>
  </si>
  <si>
    <t>EMAIL</t>
  </si>
  <si>
    <t>CITY</t>
  </si>
  <si>
    <t>STATE</t>
  </si>
  <si>
    <t>OCCUPATION</t>
  </si>
  <si>
    <t>NOTES</t>
  </si>
  <si>
    <t>Social influencer, Philanthropist, knows high profile individuals and politicians</t>
  </si>
  <si>
    <t>@TILAFL23</t>
  </si>
  <si>
    <t>American rabbi, a best-selling author and lecturer, and has spoken across the globe</t>
  </si>
  <si>
    <t xml:space="preserve">@PINCHASTAYLOR     </t>
  </si>
  <si>
    <t>Rabbi, Author, Lecturer</t>
  </si>
  <si>
    <t>Rabbi Pinchas Taylor is an American rabbi, a best-selling author and lecturer, and has spoken across the globe in a wide variety of venues.</t>
  </si>
  <si>
    <t>Content writer, blogger, protester/activist</t>
  </si>
  <si>
    <t>@NOTAJEWWITHTREMBLINGKNEES</t>
  </si>
  <si>
    <t>News Personality, Video Host and Blogger, MRCTV Host ("Woke of the Weak"), Miss Central Jersey, PragerU Ambassador</t>
  </si>
  <si>
    <t xml:space="preserve">@JUSTINEBROOKEMURRAY     </t>
  </si>
  <si>
    <t xml:space="preserve">@JUSTINE_BROOKE              </t>
  </si>
  <si>
    <t>Lecturer, Conservative Community Leader, President of American Jewish Conservatives</t>
  </si>
  <si>
    <t>@AMERICANJEWISHCONSERVATIVE</t>
  </si>
  <si>
    <t>Rise of American Jewish Conservatives</t>
  </si>
  <si>
    <t>Philanthropish, Nikki Haley campaign, can hold Parlor meetings</t>
  </si>
  <si>
    <t xml:space="preserve">@IRMAFRALIC           </t>
  </si>
  <si>
    <t>AIPAC - Presidents Cabinet level; American Friends of Magen David Adom</t>
  </si>
  <si>
    <t>@BRUCEJJACOBSON</t>
  </si>
  <si>
    <t>Influencer, Investor, Collaborator</t>
  </si>
  <si>
    <t xml:space="preserve">@DGFIELDS         </t>
  </si>
  <si>
    <t>News Personality, Podcaster, Interviewer, Journalist, Social Media Influencer</t>
  </si>
  <si>
    <t>@KARYS_RHEA</t>
  </si>
  <si>
    <t>@RHEAKARYS</t>
  </si>
  <si>
    <t xml:space="preserve">Producer @AMTHOUGHTLEADER on Epoch Times 
Fellow @MEFORUM                      </t>
  </si>
  <si>
    <t>GOTV Chair</t>
  </si>
  <si>
    <t xml:space="preserve">@ANDY.WEINSTEIN   </t>
  </si>
  <si>
    <t>High profile lawyer for Jewish Activism, Writer, Journalist</t>
  </si>
  <si>
    <t>@POLITICALELLE</t>
  </si>
  <si>
    <t>I365 Action Fundraising Chair, Venture Capitalist</t>
  </si>
  <si>
    <t>Holocaust Survivor, Motivational Speaker, Social Media Influencer</t>
  </si>
  <si>
    <t xml:space="preserve">@SAMISTEIGMANNSPEAKS </t>
  </si>
  <si>
    <t>Leader for I365 Dallas, I365 Director of Jewish Christian Relations, can hold Parlor meetings</t>
  </si>
  <si>
    <t>Influencer, FIDF ambassador</t>
  </si>
  <si>
    <t>@KAYLA_EVE__</t>
  </si>
  <si>
    <t>Israel Food Rescue, work with Israeli Consulate in Atlanta, writer</t>
  </si>
  <si>
    <t>News Personality (@Newsweek), Host of "The Josh Hammer Show", columnist, author of "Israel and Civilization"</t>
  </si>
  <si>
    <t>@JOSHBHAMMER</t>
  </si>
  <si>
    <t>Lecturer, IDF Special Ops, Writer, Global Action Institute, DRACO Group, Krav Maga</t>
  </si>
  <si>
    <t>Can help coordinate events and can get Matisyahu, if needed</t>
  </si>
  <si>
    <t>Israel 365, AIPAC</t>
  </si>
  <si>
    <t>Leader of Israel365 New Jersey</t>
  </si>
  <si>
    <t>Moshe Glick's wife, who is leader of Israel365 New Jersey</t>
  </si>
  <si>
    <t>Shimmy Karasic</t>
  </si>
  <si>
    <t>Wife of Mark Levin, Handle with care "VIP White Glove"</t>
  </si>
  <si>
    <t xml:space="preserve">Head of School - Rudlin Torah Academy, ships police equipment to Israel </t>
  </si>
  <si>
    <t>Donor, Fundraiser</t>
  </si>
  <si>
    <t>Law student, lawyer, policy</t>
  </si>
  <si>
    <t>CEO of Prager University, go through Sam Levine (Delegate #75) who is her Chief Zionist Officer, she will post for us on social media, but plz coordinate w/ Sam</t>
  </si>
  <si>
    <t>@MARISSASTREIT</t>
  </si>
  <si>
    <t>Andy Weinstein's wife</t>
  </si>
  <si>
    <t>Lawyer, policy</t>
  </si>
  <si>
    <t>Influencer, "IDF Barbie"? Montana Tucker?</t>
  </si>
  <si>
    <t>Need to ask Tuly</t>
  </si>
  <si>
    <t>Radio Host of The Ari Hoffman Show, podcasts, can host interviews, his phone is usually on silent so best to text</t>
  </si>
  <si>
    <t>@ARIHOFFMANOFFICIAL</t>
  </si>
  <si>
    <t>Fundraiser for FIDF</t>
  </si>
  <si>
    <t>Educator with Stand With Us</t>
  </si>
  <si>
    <t>Retired political advisor, Council for Cheney and John Bolton</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</si>
  <si>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</si>
  <si>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Stand With Us</t>
  </si>
  <si>
    <t>Social Media Influencer, Educator</t>
  </si>
  <si>
    <t xml:space="preserve">@JUDAHONICKMAN    </t>
  </si>
  <si>
    <t>CEO of marketing agency</t>
  </si>
  <si>
    <t>Radio talk show host, handle with care, he's not 100% onboard</t>
  </si>
  <si>
    <t>columnist, journalist, fundraising</t>
  </si>
  <si>
    <t>Philanthropist</t>
  </si>
  <si>
    <t>GOTV, fundraising</t>
  </si>
  <si>
    <t>Retired biz owner, finance, can help make fundraising calls</t>
  </si>
  <si>
    <t>Lawyer, Educator</t>
  </si>
  <si>
    <t xml:space="preserve">Oct7 Ambassador, Influencer, Collaboration Hub, Admin; Simon Wiesenthal Center volunteer, Walk/Run for Their Lives, Chicago Jewish Alliance, Collective Kindness  </t>
  </si>
  <si>
    <t>Victim of antisemetic assault in Texas Univ, high profile case</t>
  </si>
  <si>
    <t xml:space="preserve">"I Am Jo Paul", rapper, influencer, educator, podcaster </t>
  </si>
  <si>
    <t xml:space="preserve">@IAMJOPAUL  </t>
  </si>
  <si>
    <t>Influencer, DJ in Miami, will help with social media posts</t>
  </si>
  <si>
    <t>@YESHAYAHUMSC</t>
  </si>
  <si>
    <t>Prager Univ. Chief Zionist Officer. Single point of contact for Prager U. The CEO, Marissa Streit, requested we coodinate with Sam</t>
  </si>
  <si>
    <t>Music industry icon, author of "The Mohammed Code", writer, author, liberal but voted for Trump</t>
  </si>
  <si>
    <t>`</t>
  </si>
  <si>
    <t>Musician</t>
  </si>
  <si>
    <t>Artist in Miami, can help with events, social influencer</t>
  </si>
  <si>
    <t>has 12K followers</t>
  </si>
  <si>
    <t>15162420420</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</si>
</sst>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color rgb="FFFFFFFF"/>
      <name val="Roboto"/>
    </font>
    <font>
      <b/>
      <color theme="1"/>
      <name val="Arial"/>
      <scheme val="minor"/>
    </font>
    <font>
      <color rgb="FFD4EDBC"/>
      <name val="Roboto"/>
    </font>
    <font>
      <color theme="1"/>
      <name val="Arial"/>
    </font>
    <font>
      <b/>
      <color theme="1"/>
      <name val="Arial"/>
    </font>
    <font>
      <sz val="9.0"/>
      <color rgb="FF1F1F1F"/>
      <name val="&quot;Google Sans&quot;"/>
    </font>
    <font>
      <color rgb="FF434343"/>
      <name val="Roboto"/>
    </font>
    <font>
      <u/>
      <color theme="1"/>
      <name val="Arial"/>
      <scheme val="minor"/>
    </font>
    <font>
      <strike/>
      <color theme="1"/>
      <name val="Arial"/>
      <scheme val="minor"/>
    </font>
    <font>
      <sz val="10.0"/>
      <color rgb="FF666666"/>
      <name val="Roboto"/>
    </font>
    <font>
      <sz val="12.0"/>
      <color theme="1"/>
      <name val="Arial"/>
      <scheme val="minor"/>
    </font>
    <font>
      <color rgb="FFE5E5E5"/>
      <name val="Roboto"/>
    </font>
    <font>
      <color rgb="FFE5CFF2"/>
      <name val="Roboto"/>
    </font>
    <font>
      <color rgb="FFFFCFC9"/>
      <name val="Roboto"/>
    </font>
    <font>
      <color rgb="FF5A3286"/>
      <name val="Roboto"/>
    </font>
    <font>
      <u/>
      <color theme="1"/>
      <name val="Arial"/>
      <scheme val="minor"/>
    </font>
    <font>
      <color rgb="FF3D3D3D"/>
      <name val="Roboto"/>
    </font>
  </fonts>
  <fills count="11">
    <fill>
      <patternFill patternType="none"/>
    </fill>
    <fill>
      <patternFill patternType="lightGray"/>
    </fill>
    <fill>
      <patternFill patternType="solid">
        <fgColor rgb="FF356854"/>
        <bgColor rgb="FF356854"/>
      </patternFill>
    </fill>
    <fill>
      <patternFill patternType="solid">
        <fgColor rgb="FF00FF00"/>
        <bgColor rgb="FF00FF00"/>
      </patternFill>
    </fill>
    <fill>
      <patternFill patternType="solid">
        <fgColor rgb="FFFFFFFF"/>
        <bgColor rgb="FFFFFFFF"/>
      </patternFill>
    </fill>
    <fill>
      <patternFill patternType="solid">
        <fgColor rgb="FFB7B7B7"/>
        <bgColor rgb="FFB7B7B7"/>
      </patternFill>
    </fill>
    <fill>
      <patternFill patternType="solid">
        <fgColor rgb="FFFF9900"/>
        <bgColor rgb="FFFF9900"/>
      </patternFill>
    </fill>
    <fill>
      <patternFill patternType="solid">
        <fgColor rgb="FFF6F8F9"/>
        <bgColor rgb="FFF6F8F9"/>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s>
  <borders count="5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00FF00"/>
      </left>
      <right style="thin">
        <color rgb="FF00FF00"/>
      </right>
      <top style="thin">
        <color rgb="FF00FF00"/>
      </top>
      <bottom style="thin">
        <color rgb="FF00FF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B7B7B7"/>
      </right>
      <top style="thin">
        <color rgb="FFB7B7B7"/>
      </top>
      <bottom style="thin">
        <color rgb="FF000000"/>
      </bottom>
    </border>
    <border>
      <left style="thin">
        <color rgb="FFB7B7B7"/>
      </left>
      <right style="thin">
        <color rgb="FFB7B7B7"/>
      </right>
      <top style="thin">
        <color rgb="FFB7B7B7"/>
      </top>
      <bottom style="thin">
        <color rgb="FF000000"/>
      </bottom>
    </border>
    <border>
      <left style="thin">
        <color rgb="FFB7B7B7"/>
      </left>
      <right style="thin">
        <color rgb="FFB7B7B7"/>
      </right>
      <top style="thin">
        <color rgb="FFB7B7B7"/>
      </top>
      <bottom style="thin">
        <color rgb="FFB7B7B7"/>
      </bottom>
    </border>
    <border>
      <left style="thin">
        <color rgb="FFB7B7B7"/>
      </left>
      <right style="thin">
        <color rgb="FF284E3F"/>
      </right>
      <top style="thin">
        <color rgb="FFB7B7B7"/>
      </top>
      <bottom style="thin">
        <color rgb="FFB7B7B7"/>
      </bottom>
    </border>
    <border>
      <left style="thin">
        <color rgb="FF284E3F"/>
      </left>
      <right style="thin">
        <color rgb="FFFF9900"/>
      </right>
      <top style="thin">
        <color rgb="FFFF9900"/>
      </top>
      <bottom style="thin">
        <color rgb="FFFF9900"/>
      </bottom>
    </border>
    <border>
      <left style="thin">
        <color rgb="FFFF9900"/>
      </left>
      <right style="thin">
        <color rgb="FFFF9900"/>
      </right>
      <top style="thin">
        <color rgb="FFFF9900"/>
      </top>
      <bottom style="thin">
        <color rgb="FFFF9900"/>
      </bottom>
    </border>
    <border>
      <left style="thin">
        <color rgb="FFFF9900"/>
      </left>
      <right style="thin">
        <color rgb="FF284E3F"/>
      </right>
      <top style="thin">
        <color rgb="FFFF9900"/>
      </top>
      <bottom style="thin">
        <color rgb="FFFF9900"/>
      </bottom>
    </border>
    <border>
      <left style="thin">
        <color rgb="FF284E3F"/>
      </left>
      <right style="thin">
        <color rgb="FFFFFFFF"/>
      </right>
      <top style="thin">
        <color rgb="FFFFFFFF"/>
      </top>
      <bottom style="thin">
        <color rgb="FF000000"/>
      </bottom>
    </border>
    <border>
      <left style="thin">
        <color rgb="FF00FF00"/>
      </left>
      <right style="thin">
        <color rgb="FF00FF00"/>
      </right>
      <top style="thin">
        <color rgb="FF00FF00"/>
      </top>
      <bottom style="thin">
        <color rgb="FF000000"/>
      </bottom>
    </border>
    <border>
      <left style="thin">
        <color rgb="FF284E3F"/>
      </left>
      <right style="thin">
        <color rgb="FFF6F8F9"/>
      </right>
      <top style="thin">
        <color rgb="FFF6F8F9"/>
      </top>
      <bottom style="thin">
        <color rgb="FF000000"/>
      </bottom>
    </border>
    <border>
      <left style="thin">
        <color rgb="FFF6F8F9"/>
      </left>
      <right style="thin">
        <color rgb="FFF6F8F9"/>
      </right>
      <top style="thin">
        <color rgb="FFF6F8F9"/>
      </top>
      <bottom style="thin">
        <color rgb="FF000000"/>
      </bottom>
    </border>
    <border>
      <left style="thin">
        <color rgb="FFFFFF00"/>
      </left>
      <right style="thin">
        <color rgb="FFFFFF00"/>
      </right>
      <top style="thin">
        <color rgb="FFFFFF00"/>
      </top>
      <bottom style="thin">
        <color rgb="FFFFFF00"/>
      </bottom>
    </border>
    <border>
      <left style="thin">
        <color rgb="FFFFFFFF"/>
      </left>
      <right style="thin">
        <color rgb="FFFFFFFF"/>
      </right>
      <top style="thin">
        <color rgb="FFFFFFFF"/>
      </top>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F6F8F9"/>
      </bottom>
    </border>
    <border>
      <left style="thin">
        <color rgb="FFFFFFFF"/>
      </left>
      <right style="thin">
        <color rgb="FF000000"/>
      </right>
      <top style="thin">
        <color rgb="FFFFFFFF"/>
      </top>
      <bottom style="thin">
        <color rgb="FF000000"/>
      </bottom>
    </border>
    <border>
      <left style="thin">
        <color rgb="FFFFFFFF"/>
      </left>
      <right style="thin">
        <color rgb="FF284E3F"/>
      </right>
      <top style="thin">
        <color rgb="FFFFFFFF"/>
      </top>
      <bottom style="thin">
        <color rgb="FF000000"/>
      </bottom>
    </border>
    <border>
      <left style="thin">
        <color rgb="FFF6F8F9"/>
      </left>
      <right style="thin">
        <color rgb="FF000000"/>
      </right>
      <top style="thin">
        <color rgb="FFF6F8F9"/>
      </top>
      <bottom style="thin">
        <color rgb="FF000000"/>
      </bottom>
    </border>
    <border>
      <left style="thin">
        <color rgb="FFF6F8F9"/>
      </left>
      <right style="thin">
        <color rgb="FF284E3F"/>
      </right>
      <top style="thin">
        <color rgb="FFF6F8F9"/>
      </top>
      <bottom style="thin">
        <color rgb="FF000000"/>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F6F8F9"/>
      </left>
      <right style="thin">
        <color rgb="FFF6F8F9"/>
      </right>
      <top style="thin">
        <color rgb="FFFFFFFF"/>
      </top>
      <bottom style="thin">
        <color rgb="FFF6F8F9"/>
      </bottom>
    </border>
    <border>
      <left style="thin">
        <color rgb="FFFF0000"/>
      </left>
      <right style="thin">
        <color rgb="FFFF0000"/>
      </right>
      <top style="thin">
        <color rgb="FFFF0000"/>
      </top>
      <bottom style="thin">
        <color rgb="FFFF0000"/>
      </bottom>
    </border>
    <border>
      <left style="thin">
        <color rgb="FF284E3F"/>
      </left>
      <right style="thin">
        <color rgb="FFFF0000"/>
      </right>
      <top style="thin">
        <color rgb="FFFF0000"/>
      </top>
      <bottom style="thin">
        <color rgb="FFFF0000"/>
      </bottom>
    </border>
    <border>
      <left style="thin">
        <color rgb="FF284E3F"/>
      </left>
      <right style="thin">
        <color rgb="FFFF0000"/>
      </right>
      <top style="thin">
        <color rgb="FFFF0000"/>
      </top>
      <bottom style="thin">
        <color rgb="FF284E3F"/>
      </bottom>
    </border>
    <border>
      <left style="thin">
        <color rgb="FF374139"/>
      </left>
      <right style="thin">
        <color rgb="FF49564C"/>
      </right>
      <top style="thin">
        <color rgb="FF374139"/>
      </top>
      <bottom style="thin">
        <color rgb="FF374139"/>
      </bottom>
    </border>
    <border>
      <left style="thin">
        <color rgb="FF49564C"/>
      </left>
      <right style="thin">
        <color rgb="FF49564C"/>
      </right>
      <top style="thin">
        <color rgb="FF374139"/>
      </top>
      <bottom style="thin">
        <color rgb="FF374139"/>
      </bottom>
    </border>
    <border>
      <left style="thin">
        <color rgb="FF49564C"/>
      </left>
      <right style="thin">
        <color rgb="FF374139"/>
      </right>
      <top style="thin">
        <color rgb="FF374139"/>
      </top>
      <bottom style="thin">
        <color rgb="FF374139"/>
      </bottom>
    </border>
    <border>
      <left style="thin">
        <color rgb="FF374139"/>
      </left>
      <right style="thin">
        <color rgb="FFFFFFFF"/>
      </right>
      <top style="thin">
        <color rgb="FFFFFFFF"/>
      </top>
      <bottom style="thin">
        <color rgb="FFFFFFFF"/>
      </bottom>
    </border>
    <border>
      <left style="thin">
        <color rgb="FFFFFFFF"/>
      </left>
      <right style="thin">
        <color rgb="FF374139"/>
      </right>
      <top style="thin">
        <color rgb="FFFFFFFF"/>
      </top>
      <bottom style="thin">
        <color rgb="FFFFFFFF"/>
      </bottom>
    </border>
    <border>
      <left style="thin">
        <color rgb="FF374139"/>
      </left>
      <right style="thin">
        <color rgb="FFF6F8F9"/>
      </right>
      <top style="thin">
        <color rgb="FFF6F8F9"/>
      </top>
      <bottom style="thin">
        <color rgb="FFF6F8F9"/>
      </bottom>
    </border>
    <border>
      <left style="thin">
        <color rgb="FFF6F8F9"/>
      </left>
      <right style="thin">
        <color rgb="FF374139"/>
      </right>
      <top style="thin">
        <color rgb="FFF6F8F9"/>
      </top>
      <bottom style="thin">
        <color rgb="FFF6F8F9"/>
      </bottom>
    </border>
    <border>
      <left style="thin">
        <color rgb="FF374139"/>
      </left>
      <right style="thin">
        <color rgb="FFF6F8F9"/>
      </right>
      <top style="thin">
        <color rgb="FFF6F8F9"/>
      </top>
      <bottom style="thin">
        <color rgb="FF374139"/>
      </bottom>
    </border>
    <border>
      <left style="thin">
        <color rgb="FFF6F8F9"/>
      </left>
      <right style="thin">
        <color rgb="FFF6F8F9"/>
      </right>
      <top style="thin">
        <color rgb="FFF6F8F9"/>
      </top>
      <bottom style="thin">
        <color rgb="FF374139"/>
      </bottom>
    </border>
    <border>
      <left style="thin">
        <color rgb="FFF6F8F9"/>
      </left>
      <right style="thin">
        <color rgb="FF374139"/>
      </right>
      <top style="thin">
        <color rgb="FFF6F8F9"/>
      </top>
      <bottom style="thin">
        <color rgb="FF374139"/>
      </bottom>
    </border>
    <border>
      <left style="thin">
        <color rgb="FF666666"/>
      </left>
      <right style="thin">
        <color rgb="FF666666"/>
      </right>
      <top style="thin">
        <color rgb="FF666666"/>
      </top>
      <bottom style="thin">
        <color rgb="FF666666"/>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38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2" fontId="2" numFmtId="0" xfId="0" applyAlignment="1" applyBorder="1" applyFill="1" applyFont="1">
      <alignment horizontal="left" readingOrder="0" shrinkToFit="0" vertical="center" wrapText="1"/>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0"/>
    </xf>
    <xf borderId="5" fillId="3" fontId="3" numFmtId="49" xfId="0" applyAlignment="1" applyBorder="1" applyFill="1" applyFont="1" applyNumberFormat="1">
      <alignment readingOrder="0"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horizontal="center" readingOrder="0" shrinkToFit="0" vertical="center" wrapText="0"/>
    </xf>
    <xf borderId="6" fillId="4" fontId="4" numFmtId="0" xfId="0" applyAlignment="1" applyBorder="1" applyFill="1" applyFon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5" numFmtId="49" xfId="0" applyAlignment="1" applyBorder="1" applyFont="1" applyNumberFormat="1">
      <alignment shrinkToFit="0" vertical="bottom" wrapText="0"/>
    </xf>
    <xf borderId="6" fillId="0" fontId="5" numFmtId="0" xfId="0" applyAlignment="1" applyBorder="1" applyFont="1">
      <alignment shrinkToFit="0" vertical="bottom" wrapText="0"/>
    </xf>
    <xf borderId="7" fillId="0" fontId="5" numFmtId="0" xfId="0" applyAlignment="1" applyBorder="1" applyFont="1">
      <alignment shrinkToFit="0" vertical="bottom" wrapText="0"/>
    </xf>
    <xf borderId="8" fillId="0" fontId="1" numFmtId="0" xfId="0" applyAlignment="1" applyBorder="1" applyFont="1">
      <alignment horizontal="center" readingOrder="0" shrinkToFit="0" vertical="center" wrapText="0"/>
    </xf>
    <xf borderId="5" fillId="3"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horizontal="center" readingOrder="0" shrinkToFit="0" vertical="center" wrapText="0"/>
    </xf>
    <xf borderId="9"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9" fillId="0" fontId="5" numFmtId="49" xfId="0" applyAlignment="1" applyBorder="1" applyFont="1" applyNumberFormat="1">
      <alignment readingOrder="0" shrinkToFit="0" vertical="bottom" wrapText="0"/>
    </xf>
    <xf borderId="9" fillId="0" fontId="5" numFmtId="49" xfId="0" applyAlignment="1" applyBorder="1" applyFont="1" applyNumberFormat="1">
      <alignment readingOrder="0" shrinkToFit="0" vertical="bottom" wrapText="0"/>
    </xf>
    <xf borderId="9" fillId="0" fontId="5" numFmtId="0" xfId="0" applyAlignment="1" applyBorder="1" applyFont="1">
      <alignment readingOrder="0" shrinkToFit="0" vertical="bottom" wrapText="0"/>
    </xf>
    <xf borderId="10" fillId="0" fontId="5" numFmtId="0" xfId="0" applyAlignment="1" applyBorder="1" applyFont="1">
      <alignment readingOrder="0" shrinkToFit="0" vertical="bottom" wrapText="0"/>
    </xf>
    <xf borderId="4" fillId="0" fontId="5" numFmtId="0" xfId="0" applyAlignment="1" applyBorder="1" applyFont="1">
      <alignment horizontal="center" readingOrder="0" shrinkToFit="0" vertical="bottom" wrapText="0"/>
    </xf>
    <xf borderId="5" fillId="3" fontId="6" numFmtId="49" xfId="0" applyAlignment="1" applyBorder="1" applyFont="1" applyNumberFormat="1">
      <alignment readingOrder="0" shrinkToFit="0" vertical="bottom" wrapText="0"/>
    </xf>
    <xf borderId="6" fillId="0" fontId="5" numFmtId="0" xfId="0" applyAlignment="1" applyBorder="1" applyFont="1">
      <alignment horizontal="right" shrinkToFit="0" vertical="bottom" wrapText="0"/>
    </xf>
    <xf borderId="6" fillId="0" fontId="1" numFmtId="49" xfId="0" applyAlignment="1" applyBorder="1" applyFont="1" applyNumberFormat="1">
      <alignment readingOrder="0" shrinkToFit="0" vertical="center" wrapText="0"/>
    </xf>
    <xf borderId="6" fillId="4" fontId="7" numFmtId="49" xfId="0" applyAlignment="1" applyBorder="1" applyFont="1" applyNumberFormat="1">
      <alignment readingOrder="0" shrinkToFit="0" vertical="center" wrapText="0"/>
    </xf>
    <xf borderId="6" fillId="4" fontId="7" numFmtId="0" xfId="0" applyAlignment="1" applyBorder="1" applyFont="1">
      <alignment readingOrder="0" shrinkToFit="0" vertical="center" wrapText="0"/>
    </xf>
    <xf borderId="7" fillId="4" fontId="7" numFmtId="0" xfId="0" applyAlignment="1" applyBorder="1" applyFont="1">
      <alignment readingOrder="0" shrinkToFit="0" vertical="center" wrapText="0"/>
    </xf>
    <xf borderId="11" fillId="5" fontId="1" numFmtId="0" xfId="0" applyAlignment="1" applyBorder="1" applyFill="1" applyFont="1">
      <alignment horizontal="center" readingOrder="0" shrinkToFit="0" vertical="center" wrapText="0"/>
    </xf>
    <xf borderId="12" fillId="5" fontId="1" numFmtId="0" xfId="0" applyAlignment="1" applyBorder="1" applyFont="1">
      <alignment readingOrder="0" shrinkToFit="0" vertical="center" wrapText="0"/>
    </xf>
    <xf borderId="13" fillId="5" fontId="1" numFmtId="0" xfId="0" applyAlignment="1" applyBorder="1" applyFont="1">
      <alignment readingOrder="0" shrinkToFit="0" vertical="center" wrapText="0"/>
    </xf>
    <xf borderId="13" fillId="5" fontId="1" numFmtId="0" xfId="0" applyAlignment="1" applyBorder="1" applyFont="1">
      <alignment horizontal="center" readingOrder="0" shrinkToFit="0" vertical="center" wrapText="0"/>
    </xf>
    <xf borderId="13" fillId="5" fontId="8" numFmtId="0" xfId="0" applyAlignment="1" applyBorder="1" applyFont="1">
      <alignment readingOrder="0" shrinkToFit="0" vertical="center" wrapText="0"/>
    </xf>
    <xf borderId="13" fillId="5" fontId="1" numFmtId="0" xfId="0" applyAlignment="1" applyBorder="1" applyFont="1">
      <alignment shrinkToFit="0" vertical="center" wrapText="0"/>
    </xf>
    <xf borderId="13" fillId="5" fontId="1" numFmtId="0" xfId="0" applyAlignment="1" applyBorder="1" applyFont="1">
      <alignment readingOrder="0" shrinkToFit="0" vertical="center" wrapText="0"/>
    </xf>
    <xf borderId="13" fillId="5" fontId="1" numFmtId="0" xfId="0" applyAlignment="1" applyBorder="1" applyFont="1">
      <alignment readingOrder="0" shrinkToFit="0" vertical="center" wrapText="0"/>
    </xf>
    <xf borderId="13" fillId="5" fontId="1" numFmtId="49" xfId="0" applyAlignment="1" applyBorder="1" applyFont="1" applyNumberFormat="1">
      <alignment readingOrder="0" shrinkToFit="0" vertical="center" wrapText="0"/>
    </xf>
    <xf borderId="13" fillId="5" fontId="5" numFmtId="49" xfId="0" applyAlignment="1" applyBorder="1" applyFont="1" applyNumberFormat="1">
      <alignment shrinkToFit="0" vertical="bottom" wrapText="0"/>
    </xf>
    <xf borderId="13" fillId="5" fontId="5" numFmtId="49" xfId="0" applyAlignment="1" applyBorder="1" applyFont="1" applyNumberFormat="1">
      <alignment shrinkToFit="0" vertical="bottom" wrapText="0"/>
    </xf>
    <xf borderId="13" fillId="5" fontId="5" numFmtId="0" xfId="0" applyAlignment="1" applyBorder="1" applyFont="1">
      <alignment shrinkToFit="0" vertical="bottom" wrapText="0"/>
    </xf>
    <xf borderId="14" fillId="5" fontId="5" numFmtId="0" xfId="0" applyAlignment="1" applyBorder="1" applyFont="1">
      <alignment shrinkToFit="0" vertical="bottom" wrapText="0"/>
    </xf>
    <xf borderId="0" fillId="5" fontId="1" numFmtId="0" xfId="0" applyFont="1"/>
    <xf borderId="15" fillId="6" fontId="1" numFmtId="0" xfId="0" applyAlignment="1" applyBorder="1" applyFill="1" applyFont="1">
      <alignment horizontal="center" readingOrder="0" shrinkToFit="0" vertical="center" wrapText="0"/>
    </xf>
    <xf borderId="16" fillId="6" fontId="3" numFmtId="0" xfId="0" applyAlignment="1" applyBorder="1" applyFont="1">
      <alignment readingOrder="0" shrinkToFit="0" vertical="center" wrapText="0"/>
    </xf>
    <xf borderId="16" fillId="6" fontId="1" numFmtId="0" xfId="0" applyAlignment="1" applyBorder="1" applyFont="1">
      <alignment readingOrder="0" shrinkToFit="0" vertical="center" wrapText="0"/>
    </xf>
    <xf borderId="16" fillId="6" fontId="1" numFmtId="0" xfId="0" applyAlignment="1" applyBorder="1" applyFont="1">
      <alignment horizontal="center" readingOrder="0" shrinkToFit="0" vertical="center" wrapText="0"/>
    </xf>
    <xf borderId="16" fillId="6" fontId="1" numFmtId="0" xfId="0" applyAlignment="1" applyBorder="1" applyFont="1">
      <alignment shrinkToFit="0" vertical="center" wrapText="0"/>
    </xf>
    <xf borderId="16" fillId="6" fontId="1" numFmtId="0" xfId="0" applyAlignment="1" applyBorder="1" applyFont="1">
      <alignment readingOrder="0" shrinkToFit="0" vertical="center" wrapText="0"/>
    </xf>
    <xf borderId="16" fillId="6" fontId="1" numFmtId="0" xfId="0" applyAlignment="1" applyBorder="1" applyFont="1">
      <alignment readingOrder="0" shrinkToFit="0" vertical="center" wrapText="0"/>
    </xf>
    <xf borderId="16" fillId="6" fontId="1" numFmtId="49" xfId="0" applyAlignment="1" applyBorder="1" applyFont="1" applyNumberFormat="1">
      <alignment readingOrder="0" shrinkToFit="0" vertical="center" wrapText="0"/>
    </xf>
    <xf borderId="16" fillId="6" fontId="1" numFmtId="49" xfId="0" applyAlignment="1" applyBorder="1" applyFont="1" applyNumberFormat="1">
      <alignment readingOrder="0" shrinkToFit="0" vertical="center" wrapText="0"/>
    </xf>
    <xf borderId="16" fillId="6" fontId="1" numFmtId="0" xfId="0" applyAlignment="1" applyBorder="1" applyFont="1">
      <alignment readingOrder="0" shrinkToFit="0" vertical="center" wrapText="0"/>
    </xf>
    <xf borderId="17" fillId="6" fontId="1" numFmtId="0" xfId="0" applyAlignment="1" applyBorder="1" applyFont="1">
      <alignment readingOrder="0" shrinkToFit="0" vertical="center" wrapText="0"/>
    </xf>
    <xf borderId="0" fillId="6" fontId="1" numFmtId="0" xfId="0" applyFont="1"/>
    <xf borderId="8" fillId="0" fontId="5" numFmtId="0" xfId="0" applyAlignment="1" applyBorder="1" applyFont="1">
      <alignment horizontal="center" readingOrder="0" shrinkToFit="0" vertical="bottom" wrapText="0"/>
    </xf>
    <xf borderId="5" fillId="3" fontId="1" numFmtId="0" xfId="0" applyAlignment="1" applyBorder="1" applyFont="1">
      <alignment readingOrder="0" shrinkToFit="0" vertical="center" wrapText="0"/>
    </xf>
    <xf borderId="9" fillId="0" fontId="5" numFmtId="49" xfId="0" applyAlignment="1" applyBorder="1" applyFont="1" applyNumberFormat="1">
      <alignment shrinkToFit="0" vertical="bottom" wrapText="0"/>
    </xf>
    <xf borderId="6" fillId="0" fontId="1" numFmtId="49" xfId="0" applyAlignment="1" applyBorder="1" applyFont="1" applyNumberForma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shrinkToFit="0" vertical="center" wrapText="0"/>
    </xf>
    <xf borderId="5" fillId="3" fontId="1" numFmtId="49" xfId="0" applyAlignment="1" applyBorder="1" applyFont="1" applyNumberFormat="1">
      <alignment readingOrder="0" shrinkToFit="0" vertical="center" wrapText="0"/>
    </xf>
    <xf borderId="9" fillId="0" fontId="1" numFmtId="49" xfId="0" applyAlignment="1" applyBorder="1" applyFont="1" applyNumberFormat="1">
      <alignment readingOrder="0" shrinkToFit="0" vertical="center" wrapText="0"/>
    </xf>
    <xf borderId="9" fillId="0" fontId="1" numFmtId="49" xfId="0" applyAlignment="1" applyBorder="1" applyFont="1" applyNumberFormat="1">
      <alignment shrinkToFit="0" vertical="center" wrapText="0"/>
    </xf>
    <xf borderId="9" fillId="0" fontId="1" numFmtId="0" xfId="0" applyAlignment="1" applyBorder="1" applyFont="1">
      <alignment shrinkToFit="0" vertical="center" wrapText="0"/>
    </xf>
    <xf borderId="10" fillId="0" fontId="1" numFmtId="0" xfId="0" applyAlignment="1" applyBorder="1" applyFont="1">
      <alignment shrinkToFit="0" vertical="center" wrapText="0"/>
    </xf>
    <xf borderId="18" fillId="0" fontId="1" numFmtId="0" xfId="0" applyAlignment="1" applyBorder="1" applyFont="1">
      <alignment horizontal="center" readingOrder="0" shrinkToFit="0" vertical="center" wrapText="0"/>
    </xf>
    <xf borderId="19" fillId="3" fontId="3"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9" fillId="0" fontId="1" numFmtId="49" xfId="0" applyAlignment="1" applyBorder="1" applyFont="1" applyNumberFormat="1">
      <alignment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6" fillId="0" fontId="1" numFmtId="49" xfId="0" applyAlignment="1" applyBorder="1" applyFont="1" applyNumberFormat="1">
      <alignment shrinkToFit="0" vertical="center" wrapText="0"/>
    </xf>
    <xf borderId="20" fillId="0" fontId="1" numFmtId="0" xfId="0" applyAlignment="1" applyBorder="1" applyFont="1">
      <alignment horizontal="center" readingOrder="0" shrinkToFit="0" vertical="center" wrapText="0"/>
    </xf>
    <xf borderId="19" fillId="3" fontId="3" numFmtId="49" xfId="0" applyAlignment="1" applyBorder="1" applyFont="1" applyNumberFormat="1">
      <alignment readingOrder="0" shrinkToFit="0" vertical="center" wrapText="0"/>
    </xf>
    <xf borderId="10" fillId="0" fontId="1" numFmtId="49" xfId="0" applyAlignment="1" applyBorder="1" applyFont="1" applyNumberFormat="1">
      <alignment shrinkToFit="0" vertical="center" wrapText="0"/>
    </xf>
    <xf borderId="9" fillId="0" fontId="5" numFmtId="49" xfId="0" applyAlignment="1" applyBorder="1" applyFont="1" applyNumberFormat="1">
      <alignment shrinkToFit="0" vertical="bottom" wrapText="0"/>
    </xf>
    <xf borderId="9" fillId="0" fontId="5" numFmtId="0" xfId="0" applyAlignment="1" applyBorder="1" applyFont="1">
      <alignment shrinkToFit="0" vertical="bottom" wrapText="0"/>
    </xf>
    <xf borderId="10" fillId="0" fontId="5" numFmtId="0" xfId="0" applyAlignment="1" applyBorder="1" applyFont="1">
      <alignment shrinkToFit="0" vertical="bottom" wrapText="0"/>
    </xf>
    <xf borderId="6" fillId="0" fontId="5" numFmtId="49" xfId="0" applyAlignment="1" applyBorder="1" applyFont="1" applyNumberFormat="1">
      <alignment shrinkToFit="0" vertical="bottom" wrapText="0"/>
    </xf>
    <xf borderId="6" fillId="0" fontId="5" numFmtId="49" xfId="0" applyAlignment="1" applyBorder="1" applyFont="1" applyNumberFormat="1">
      <alignment readingOrder="0" shrinkToFit="0" vertical="bottom" wrapText="0"/>
    </xf>
    <xf borderId="6" fillId="0" fontId="5" numFmtId="0" xfId="0" applyAlignment="1" applyBorder="1" applyFont="1">
      <alignment readingOrder="0" shrinkToFit="0" vertical="bottom" wrapText="0"/>
    </xf>
    <xf borderId="7" fillId="0" fontId="5" numFmtId="0" xfId="0" applyAlignment="1" applyBorder="1" applyFont="1">
      <alignment readingOrder="0" shrinkToFit="0" vertical="bottom" wrapText="0"/>
    </xf>
    <xf borderId="5" fillId="3" fontId="5" numFmtId="49" xfId="0" applyAlignment="1" applyBorder="1" applyFont="1" applyNumberFormat="1">
      <alignment shrinkToFit="0" vertical="bottom" wrapText="0"/>
    </xf>
    <xf borderId="9" fillId="0" fontId="5" numFmtId="0" xfId="0" applyAlignment="1" applyBorder="1" applyFont="1">
      <alignment horizontal="right" shrinkToFit="0" vertical="bottom" wrapText="0"/>
    </xf>
    <xf borderId="7" fillId="0" fontId="1" numFmtId="49" xfId="0" applyAlignment="1" applyBorder="1" applyFont="1" applyNumberFormat="1">
      <alignment readingOrder="0" shrinkToFit="0" vertical="center" wrapText="0"/>
    </xf>
    <xf borderId="9" fillId="0" fontId="3" numFmtId="49" xfId="0" applyAlignment="1" applyBorder="1" applyFont="1" applyNumberFormat="1">
      <alignment readingOrder="0" shrinkToFit="0" vertical="center" wrapText="0"/>
    </xf>
    <xf borderId="19" fillId="3" fontId="6" numFmtId="49" xfId="0" applyAlignment="1" applyBorder="1" applyFont="1" applyNumberFormat="1">
      <alignment shrinkToFit="0" vertical="bottom" wrapText="0"/>
    </xf>
    <xf borderId="5" fillId="3" fontId="5" numFmtId="49" xfId="0" applyAlignment="1" applyBorder="1" applyFont="1" applyNumberFormat="1">
      <alignment readingOrder="0" shrinkToFit="0" vertical="bottom" wrapText="0"/>
    </xf>
    <xf borderId="21" fillId="0" fontId="3" numFmtId="49" xfId="0" applyAlignment="1" applyBorder="1" applyFont="1" applyNumberFormat="1">
      <alignment readingOrder="0" shrinkToFit="0" vertical="center" wrapText="0"/>
    </xf>
    <xf borderId="9" fillId="0" fontId="9" numFmtId="49" xfId="0" applyAlignment="1" applyBorder="1" applyFont="1" applyNumberFormat="1">
      <alignment readingOrder="0" shrinkToFit="0" vertical="center" wrapText="0"/>
    </xf>
    <xf borderId="18" fillId="0" fontId="5" numFmtId="0" xfId="0" applyAlignment="1" applyBorder="1" applyFont="1">
      <alignment horizontal="center" readingOrder="0" shrinkToFit="0" vertical="bottom" wrapText="0"/>
    </xf>
    <xf borderId="19" fillId="3" fontId="1" numFmtId="49" xfId="0" applyAlignment="1" applyBorder="1" applyFont="1" applyNumberFormat="1">
      <alignment readingOrder="0" shrinkToFit="0" vertical="center" wrapText="0"/>
    </xf>
    <xf borderId="7" fillId="0" fontId="5" numFmtId="49" xfId="0" applyAlignment="1" applyBorder="1" applyFont="1" applyNumberFormat="1">
      <alignment shrinkToFit="0" vertical="bottom" wrapText="0"/>
    </xf>
    <xf borderId="9" fillId="7" fontId="8" numFmtId="49" xfId="0" applyAlignment="1" applyBorder="1" applyFill="1" applyFont="1" applyNumberFormat="1">
      <alignment shrinkToFit="0" vertical="center" wrapText="0"/>
    </xf>
    <xf borderId="9" fillId="7" fontId="8" numFmtId="0" xfId="0" applyAlignment="1" applyBorder="1" applyFont="1">
      <alignment shrinkToFit="0" vertical="center" wrapText="0"/>
    </xf>
    <xf borderId="10" fillId="7" fontId="8" numFmtId="0" xfId="0" applyAlignment="1" applyBorder="1" applyFont="1">
      <alignment shrinkToFit="0" vertical="center" wrapText="0"/>
    </xf>
    <xf borderId="6" fillId="4" fontId="8" numFmtId="49" xfId="0" applyAlignment="1" applyBorder="1" applyFont="1" applyNumberFormat="1">
      <alignment shrinkToFit="0" vertical="center" wrapText="0"/>
    </xf>
    <xf borderId="6" fillId="4" fontId="8" numFmtId="49" xfId="0" applyAlignment="1" applyBorder="1" applyFont="1" applyNumberFormat="1">
      <alignment readingOrder="0" shrinkToFit="0" vertical="center" wrapText="0"/>
    </xf>
    <xf borderId="6" fillId="4" fontId="8" numFmtId="0" xfId="0" applyAlignment="1" applyBorder="1" applyFont="1">
      <alignment readingOrder="0" shrinkToFit="0" vertical="center" wrapText="0"/>
    </xf>
    <xf borderId="7" fillId="4" fontId="8" numFmtId="0" xfId="0" applyAlignment="1" applyBorder="1" applyFont="1">
      <alignment readingOrder="0" shrinkToFit="0" vertical="center" wrapText="0"/>
    </xf>
    <xf borderId="19" fillId="3" fontId="1"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1" numFmtId="49"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22" fillId="0" fontId="1" numFmtId="49" xfId="0" applyAlignment="1" applyBorder="1" applyFont="1" applyNumberFormat="1">
      <alignment readingOrder="0" shrinkToFit="0" vertical="center" wrapText="0"/>
    </xf>
    <xf borderId="7" fillId="0" fontId="1" numFmtId="49" xfId="0" applyAlignment="1" applyBorder="1" applyFont="1" applyNumberFormat="1">
      <alignment shrinkToFit="0" vertical="center" wrapText="0"/>
    </xf>
    <xf borderId="6" fillId="0" fontId="3" numFmtId="49" xfId="0" applyAlignment="1" applyBorder="1" applyFont="1" applyNumberFormat="1">
      <alignment readingOrder="0" shrinkToFit="0" vertical="center" wrapText="0"/>
    </xf>
    <xf borderId="23" fillId="0" fontId="3" numFmtId="0" xfId="0" applyAlignment="1" applyBorder="1" applyFont="1">
      <alignment readingOrder="0" shrinkToFit="0" vertical="center" wrapText="0"/>
    </xf>
    <xf borderId="9" fillId="0" fontId="6" numFmtId="49" xfId="0" applyAlignment="1" applyBorder="1" applyFont="1" applyNumberFormat="1">
      <alignment readingOrder="0" shrinkToFit="0" vertical="bottom" wrapText="0"/>
    </xf>
    <xf borderId="23" fillId="0" fontId="6" numFmtId="0" xfId="0" applyAlignment="1" applyBorder="1" applyFont="1">
      <alignment readingOrder="0" shrinkToFit="0" vertical="center" wrapText="0"/>
    </xf>
    <xf borderId="6" fillId="0" fontId="6" numFmtId="49" xfId="0" applyAlignment="1" applyBorder="1" applyFont="1" applyNumberFormat="1">
      <alignment shrinkToFit="0" vertical="bottom" wrapText="0"/>
    </xf>
    <xf borderId="20" fillId="0" fontId="5" numFmtId="0" xfId="0" applyAlignment="1" applyBorder="1" applyFont="1">
      <alignment horizontal="center" readingOrder="0" shrinkToFit="0" vertical="bottom" wrapText="0"/>
    </xf>
    <xf borderId="21" fillId="0" fontId="1" numFmtId="49" xfId="0" applyAlignment="1" applyBorder="1" applyFont="1" applyNumberFormat="1">
      <alignment readingOrder="0" shrinkToFit="0" vertical="center" wrapText="0"/>
    </xf>
    <xf borderId="22" fillId="8" fontId="1" numFmtId="0" xfId="0" applyAlignment="1" applyBorder="1" applyFill="1" applyFont="1">
      <alignment readingOrder="0" shrinkToFit="0" vertical="center" wrapText="0"/>
    </xf>
    <xf borderId="22" fillId="8" fontId="1" numFmtId="49" xfId="0" applyAlignment="1" applyBorder="1" applyFont="1" applyNumberFormat="1">
      <alignment readingOrder="0" shrinkToFit="0" vertical="center" wrapText="0"/>
    </xf>
    <xf borderId="23" fillId="0" fontId="1" numFmtId="0" xfId="0" applyAlignment="1" applyBorder="1" applyFont="1">
      <alignment readingOrder="0" shrinkToFit="0" vertical="center" wrapText="0"/>
    </xf>
    <xf borderId="9" fillId="0" fontId="6" numFmtId="49" xfId="0" applyAlignment="1" applyBorder="1" applyFont="1" applyNumberFormat="1">
      <alignment shrinkToFit="0" vertical="bottom" wrapText="0"/>
    </xf>
    <xf borderId="21" fillId="0" fontId="1" numFmtId="49" xfId="0" applyAlignment="1" applyBorder="1" applyFont="1" applyNumberFormat="1">
      <alignment readingOrder="0" shrinkToFit="0" vertical="center" wrapText="0"/>
    </xf>
    <xf borderId="6" fillId="4" fontId="8" numFmtId="0" xfId="0" applyAlignment="1" applyBorder="1" applyFont="1">
      <alignment shrinkToFit="0" vertical="center" wrapText="0"/>
    </xf>
    <xf borderId="6" fillId="4" fontId="8" numFmtId="0" xfId="0" applyAlignment="1" applyBorder="1" applyFont="1">
      <alignment horizontal="center" shrinkToFit="0" vertical="center" wrapText="0"/>
    </xf>
    <xf borderId="6" fillId="4" fontId="8" numFmtId="0" xfId="0" applyAlignment="1" applyBorder="1" applyFont="1">
      <alignment horizontal="right" shrinkToFit="0" vertical="center" wrapText="0"/>
    </xf>
    <xf borderId="6" fillId="8" fontId="8" numFmtId="49" xfId="0" applyAlignment="1" applyBorder="1" applyFont="1" applyNumberFormat="1">
      <alignment shrinkToFit="0" vertical="center" wrapText="0"/>
    </xf>
    <xf borderId="6" fillId="4" fontId="5" numFmtId="49" xfId="0" applyAlignment="1" applyBorder="1" applyFont="1" applyNumberFormat="1">
      <alignment shrinkToFit="0" vertical="center" wrapText="0"/>
    </xf>
    <xf borderId="6" fillId="4" fontId="5" numFmtId="0" xfId="0" applyAlignment="1" applyBorder="1" applyFont="1">
      <alignment shrinkToFit="0" vertical="center" wrapText="0"/>
    </xf>
    <xf borderId="7" fillId="4" fontId="5" numFmtId="0" xfId="0" applyAlignment="1" applyBorder="1" applyFont="1">
      <alignment shrinkToFit="0" vertical="center" wrapText="0"/>
    </xf>
    <xf borderId="0" fillId="0" fontId="10" numFmtId="0" xfId="0" applyFont="1"/>
    <xf borderId="23" fillId="0" fontId="3" numFmtId="49" xfId="0" applyAlignment="1" applyBorder="1" applyFont="1" applyNumberFormat="1">
      <alignment readingOrder="0" shrinkToFit="0" vertical="center" wrapText="0"/>
    </xf>
    <xf borderId="6" fillId="4" fontId="5" numFmtId="0" xfId="0" applyAlignment="1" applyBorder="1" applyFont="1">
      <alignment shrinkToFit="0" vertical="center" wrapText="0"/>
    </xf>
    <xf borderId="9" fillId="0" fontId="5" numFmtId="0" xfId="0" applyAlignment="1" applyBorder="1" applyFont="1">
      <alignment readingOrder="0" shrinkToFit="0" vertical="bottom" wrapText="0"/>
    </xf>
    <xf borderId="6" fillId="4" fontId="11" numFmtId="49" xfId="0" applyAlignment="1" applyBorder="1" applyFont="1" applyNumberFormat="1">
      <alignment readingOrder="0" shrinkToFit="0" vertical="center" wrapText="0"/>
    </xf>
    <xf borderId="19" fillId="3" fontId="5" numFmtId="49" xfId="0" applyAlignment="1" applyBorder="1" applyFont="1" applyNumberFormat="1">
      <alignment shrinkToFit="0" vertical="bottom"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9" fillId="0" fontId="1" numFmtId="0" xfId="0" applyAlignment="1" applyBorder="1" applyFont="1">
      <alignment horizontal="center" shrinkToFit="0" vertical="center" wrapText="0"/>
    </xf>
    <xf borderId="9"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9" fillId="0" fontId="1" numFmtId="49" xfId="0" applyAlignment="1" applyBorder="1" applyFont="1" applyNumberFormat="1">
      <alignment horizontal="center" readingOrder="0" shrinkToFit="0" vertical="center" wrapText="0"/>
    </xf>
    <xf borderId="9" fillId="0" fontId="1" numFmtId="0" xfId="0" applyAlignment="1" applyBorder="1" applyFont="1">
      <alignment shrinkToFit="0" vertical="center" wrapText="0"/>
    </xf>
    <xf borderId="9" fillId="0" fontId="1" numFmtId="49" xfId="0" applyAlignment="1" applyBorder="1" applyFont="1" applyNumberFormat="1">
      <alignment shrinkToFit="0" vertical="center" wrapText="0"/>
    </xf>
    <xf borderId="4" fillId="0" fontId="5" numFmtId="0" xfId="0" applyAlignment="1" applyBorder="1" applyFont="1">
      <alignment readingOrder="0" shrinkToFit="0" vertical="bottom" wrapText="0"/>
    </xf>
    <xf borderId="23" fillId="0" fontId="1" numFmtId="49" xfId="0" applyAlignment="1" applyBorder="1" applyFont="1" applyNumberForma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horizontal="center" shrinkToFit="0" vertical="center" wrapText="0"/>
    </xf>
    <xf borderId="6" fillId="0" fontId="1"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1" numFmtId="49" xfId="0" applyAlignment="1" applyBorder="1" applyFont="1" applyNumberFormat="1">
      <alignment horizontal="center" readingOrder="0" shrinkToFit="0" vertical="center" wrapText="0"/>
    </xf>
    <xf borderId="6" fillId="0" fontId="1" numFmtId="0" xfId="0" applyAlignment="1" applyBorder="1" applyFont="1">
      <alignment shrinkToFit="0" vertical="center" wrapText="0"/>
    </xf>
    <xf borderId="6" fillId="0" fontId="1" numFmtId="49" xfId="0" applyAlignment="1" applyBorder="1" applyFont="1" applyNumberFormat="1">
      <alignment shrinkToFit="0" vertical="center" wrapText="0"/>
    </xf>
    <xf borderId="24" fillId="0" fontId="5" numFmtId="0" xfId="0" applyAlignment="1" applyBorder="1" applyFont="1">
      <alignment readingOrder="0" shrinkToFit="0" vertical="bottom" wrapText="0"/>
    </xf>
    <xf borderId="25" fillId="0" fontId="1" numFmtId="49" xfId="0" applyAlignment="1" applyBorder="1" applyFont="1" applyNumberFormat="1">
      <alignment readingOrder="0" shrinkToFit="0" vertical="center" wrapText="0"/>
    </xf>
    <xf borderId="25" fillId="0" fontId="1" numFmtId="0" xfId="0" applyAlignment="1" applyBorder="1" applyFont="1">
      <alignment shrinkToFit="0" vertical="center" wrapText="0"/>
    </xf>
    <xf borderId="25" fillId="0" fontId="1" numFmtId="0" xfId="0" applyAlignment="1" applyBorder="1" applyFont="1">
      <alignment horizontal="center" shrinkToFit="0" vertical="center" wrapText="0"/>
    </xf>
    <xf borderId="25" fillId="0" fontId="1" numFmtId="0" xfId="0" applyAlignment="1" applyBorder="1" applyFont="1">
      <alignment readingOrder="0" shrinkToFit="0" vertical="center" wrapText="0"/>
    </xf>
    <xf borderId="25" fillId="0" fontId="1" numFmtId="0" xfId="0" applyAlignment="1" applyBorder="1" applyFont="1">
      <alignment readingOrder="0" shrinkToFit="0" vertical="center" wrapText="0"/>
    </xf>
    <xf borderId="25" fillId="0" fontId="1" numFmtId="0" xfId="0" applyAlignment="1" applyBorder="1" applyFont="1">
      <alignment readingOrder="0" shrinkToFit="0" vertical="center" wrapText="0"/>
    </xf>
    <xf borderId="25" fillId="0" fontId="1" numFmtId="49" xfId="0" applyAlignment="1" applyBorder="1" applyFont="1" applyNumberFormat="1">
      <alignment readingOrder="0" shrinkToFit="0" vertical="center" wrapText="0"/>
    </xf>
    <xf borderId="25" fillId="0" fontId="1" numFmtId="49" xfId="0" applyAlignment="1" applyBorder="1" applyFont="1" applyNumberFormat="1">
      <alignment horizontal="center" readingOrder="0" shrinkToFit="0" vertical="center" wrapText="0"/>
    </xf>
    <xf borderId="25" fillId="0" fontId="1" numFmtId="0" xfId="0" applyAlignment="1" applyBorder="1" applyFont="1">
      <alignment shrinkToFit="0" vertical="center" wrapText="0"/>
    </xf>
    <xf borderId="25" fillId="0" fontId="1" numFmtId="49" xfId="0" applyAlignment="1" applyBorder="1" applyFont="1" applyNumberFormat="1">
      <alignment shrinkToFit="0" vertical="center" wrapText="0"/>
    </xf>
    <xf borderId="25" fillId="0" fontId="1" numFmtId="49" xfId="0" applyAlignment="1" applyBorder="1" applyFont="1" applyNumberFormat="1">
      <alignment shrinkToFit="0" vertical="center" wrapText="0"/>
    </xf>
    <xf borderId="2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27"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6" fillId="0" fontId="3" numFmtId="0" xfId="0" applyAlignment="1" applyBorder="1" applyFont="1">
      <alignment readingOrder="0" shrinkToFit="0" vertical="center" wrapText="0"/>
    </xf>
    <xf borderId="27" fillId="0" fontId="5" numFmtId="0" xfId="0" applyAlignment="1" applyBorder="1" applyFont="1">
      <alignment readingOrder="0" shrinkToFit="0" vertical="bottom" wrapText="0"/>
    </xf>
    <xf borderId="28" fillId="0" fontId="1" numFmtId="0" xfId="0" applyAlignment="1" applyBorder="1" applyFont="1">
      <alignment readingOrder="0" shrinkToFit="0" vertical="center" wrapText="0"/>
    </xf>
    <xf borderId="29" fillId="0" fontId="1" numFmtId="0" xfId="0" applyAlignment="1" applyBorder="1" applyFont="1">
      <alignment readingOrder="0" shrinkToFit="0" vertical="center" wrapText="0"/>
    </xf>
    <xf borderId="9" fillId="0" fontId="3" numFmtId="0" xfId="0" applyAlignment="1" applyBorder="1" applyFont="1">
      <alignment readingOrder="0" shrinkToFit="0" vertical="center" wrapText="0"/>
    </xf>
    <xf borderId="26" fillId="0" fontId="5" numFmtId="0" xfId="0" applyAlignment="1" applyBorder="1" applyFont="1">
      <alignment readingOrder="0" shrinkToFit="0" vertical="bottom" wrapText="0"/>
    </xf>
    <xf borderId="6" fillId="0" fontId="6" numFmtId="49" xfId="0" applyAlignment="1" applyBorder="1" applyFont="1" applyNumberFormat="1">
      <alignment readingOrder="0" shrinkToFit="0" vertical="bottom" wrapText="0"/>
    </xf>
    <xf borderId="21" fillId="0" fontId="3" numFmtId="0" xfId="0" applyAlignment="1" applyBorder="1" applyFont="1">
      <alignment readingOrder="0" shrinkToFit="0" vertical="center" wrapText="0"/>
    </xf>
    <xf borderId="30" fillId="0" fontId="1" numFmtId="0" xfId="0" applyAlignment="1" applyBorder="1" applyFont="1">
      <alignment readingOrder="0" shrinkToFit="0" vertical="center" wrapText="0"/>
    </xf>
    <xf borderId="21" fillId="0" fontId="6" numFmtId="0" xfId="0" applyAlignment="1" applyBorder="1" applyFont="1">
      <alignment readingOrder="0" shrinkToFit="0" vertical="center" wrapText="0"/>
    </xf>
    <xf borderId="31" fillId="0" fontId="1" numFmtId="0" xfId="0" applyAlignment="1" applyBorder="1" applyFont="1">
      <alignment readingOrder="0" shrinkToFit="0" vertical="center" wrapText="0"/>
    </xf>
    <xf borderId="7" fillId="0" fontId="5" numFmtId="0" xfId="0" applyAlignment="1" applyBorder="1" applyFont="1">
      <alignment readingOrder="0" shrinkToFit="0" vertical="bottom" wrapText="0"/>
    </xf>
    <xf borderId="23" fillId="0" fontId="1" numFmtId="0" xfId="0" applyAlignment="1" applyBorder="1" applyFont="1">
      <alignment readingOrder="0" shrinkToFit="0" vertical="center" wrapText="0"/>
    </xf>
    <xf borderId="21" fillId="0" fontId="1" numFmtId="0" xfId="0" applyAlignment="1" applyBorder="1" applyFont="1">
      <alignment readingOrder="0" shrinkToFit="0" vertical="center" wrapText="0"/>
    </xf>
    <xf borderId="23" fillId="0" fontId="6" numFmtId="49" xfId="0" applyAlignment="1" applyBorder="1" applyFont="1" applyNumberFormat="1">
      <alignment shrinkToFit="0" vertical="bottom" wrapText="0"/>
    </xf>
    <xf borderId="29" fillId="0" fontId="5" numFmtId="0" xfId="0" applyAlignment="1" applyBorder="1" applyFont="1">
      <alignment readingOrder="0" shrinkToFit="0" vertical="bottom" wrapText="0"/>
    </xf>
    <xf borderId="23" fillId="0" fontId="5" numFmtId="49" xfId="0" applyAlignment="1" applyBorder="1" applyFont="1" applyNumberFormat="1">
      <alignment shrinkToFit="0" vertical="bottom" wrapText="0"/>
    </xf>
    <xf borderId="6" fillId="0" fontId="5" numFmtId="0" xfId="0" applyAlignment="1" applyBorder="1" applyFont="1">
      <alignment readingOrder="0" shrinkToFit="0" vertical="bottom" wrapText="0"/>
    </xf>
    <xf borderId="23" fillId="0" fontId="1" numFmtId="49" xfId="0" applyAlignment="1" applyBorder="1" applyFont="1" applyNumberFormat="1">
      <alignment readingOrder="0" shrinkToFit="0" vertical="center" wrapText="0"/>
    </xf>
    <xf borderId="32" fillId="0" fontId="1" numFmtId="0" xfId="0" applyAlignment="1" applyBorder="1" applyFont="1">
      <alignment readingOrder="0" shrinkToFit="0" vertical="center" wrapText="0"/>
    </xf>
    <xf borderId="32" fillId="0" fontId="1" numFmtId="0" xfId="0" applyAlignment="1" applyBorder="1" applyFont="1">
      <alignment readingOrder="0" shrinkToFit="0" vertical="center" wrapText="0"/>
    </xf>
    <xf borderId="33" fillId="0" fontId="1" numFmtId="0" xfId="0" applyAlignment="1" applyBorder="1" applyFont="1">
      <alignment readingOrder="0" shrinkToFit="0" vertical="center" wrapText="0"/>
    </xf>
    <xf borderId="0" fillId="0" fontId="12" numFmtId="0" xfId="0" applyFont="1"/>
    <xf borderId="0" fillId="0" fontId="12" numFmtId="49" xfId="0" applyFont="1" applyNumberFormat="1"/>
    <xf borderId="0" fillId="0" fontId="12" numFmtId="0" xfId="0" applyAlignment="1" applyFont="1">
      <alignment shrinkToFit="0" wrapText="1"/>
    </xf>
    <xf borderId="0" fillId="0" fontId="12" numFmtId="0" xfId="0" applyFont="1"/>
    <xf borderId="3"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0"/>
    </xf>
    <xf borderId="6" fillId="7" fontId="13" numFmtId="0" xfId="0" applyAlignment="1" applyBorder="1" applyFont="1">
      <alignment shrinkToFit="0" vertical="center" wrapText="0"/>
    </xf>
    <xf borderId="8" fillId="0" fontId="5" numFmtId="0" xfId="0" applyAlignment="1" applyBorder="1" applyFont="1">
      <alignment readingOrder="0" shrinkToFit="0" vertical="bottom" wrapText="0"/>
    </xf>
    <xf borderId="9" fillId="4" fontId="13" numFmtId="0" xfId="0" applyAlignment="1" applyBorder="1" applyFont="1">
      <alignment shrinkToFit="0" vertical="center" wrapText="0"/>
    </xf>
    <xf borderId="10" fillId="0" fontId="5" numFmtId="49" xfId="0" applyAlignment="1" applyBorder="1" applyFont="1" applyNumberFormat="1">
      <alignment readingOrder="0" shrinkToFit="0" vertical="bottom" wrapText="0"/>
    </xf>
    <xf borderId="6" fillId="7" fontId="14" numFmtId="0" xfId="0" applyAlignment="1" applyBorder="1" applyFont="1">
      <alignment readingOrder="0" shrinkToFit="0" vertical="center" wrapText="0"/>
    </xf>
    <xf borderId="9" fillId="4" fontId="14" numFmtId="0" xfId="0" applyAlignment="1" applyBorder="1" applyFont="1">
      <alignment readingOrder="0" shrinkToFit="0" vertical="center" wrapText="0"/>
    </xf>
    <xf borderId="7" fillId="4" fontId="7" numFmtId="49" xfId="0" applyAlignment="1" applyBorder="1" applyFont="1" applyNumberFormat="1">
      <alignment readingOrder="0" shrinkToFit="0" vertical="center" wrapText="0"/>
    </xf>
    <xf borderId="9" fillId="7" fontId="13" numFmtId="0" xfId="0" applyAlignment="1" applyBorder="1" applyFont="1">
      <alignment shrinkToFit="0" vertical="center" wrapText="0"/>
    </xf>
    <xf borderId="6" fillId="7" fontId="5" numFmtId="0" xfId="0" applyAlignment="1" applyBorder="1" applyFont="1">
      <alignment readingOrder="0" shrinkToFit="0" vertical="center" wrapText="0"/>
    </xf>
    <xf borderId="6" fillId="4" fontId="4" numFmtId="0" xfId="0" applyAlignment="1" applyBorder="1" applyFont="1">
      <alignment shrinkToFit="0" vertical="center" wrapText="0"/>
    </xf>
    <xf borderId="6" fillId="4" fontId="14" numFmtId="0" xfId="0" applyAlignment="1" applyBorder="1" applyFont="1">
      <alignment readingOrder="0" shrinkToFit="0" vertical="center" wrapText="0"/>
    </xf>
    <xf borderId="10" fillId="0" fontId="1" numFmtId="49" xfId="0" applyAlignment="1" applyBorder="1" applyFont="1" applyNumberFormat="1">
      <alignment readingOrder="0" shrinkToFit="0" vertical="center" wrapText="0"/>
    </xf>
    <xf borderId="9" fillId="7" fontId="4" numFmtId="0" xfId="0" applyAlignment="1" applyBorder="1" applyFont="1">
      <alignment readingOrder="0" shrinkToFit="0" vertical="center" wrapText="0"/>
    </xf>
    <xf borderId="6" fillId="7" fontId="4" numFmtId="0" xfId="0" applyAlignment="1" applyBorder="1" applyFont="1">
      <alignment readingOrder="0" shrinkToFit="0" vertical="center" wrapText="0"/>
    </xf>
    <xf borderId="6" fillId="4" fontId="13" numFmtId="0" xfId="0" applyAlignment="1" applyBorder="1" applyFont="1">
      <alignment readingOrder="0" shrinkToFit="0" vertical="center" wrapText="0"/>
    </xf>
    <xf borderId="9" fillId="4" fontId="4" numFmtId="0" xfId="0" applyAlignment="1" applyBorder="1" applyFont="1">
      <alignment readingOrder="0" shrinkToFit="0" vertical="center" wrapText="0"/>
    </xf>
    <xf borderId="7" fillId="0" fontId="5" numFmtId="49" xfId="0" applyAlignment="1" applyBorder="1" applyFont="1" applyNumberFormat="1">
      <alignment readingOrder="0" shrinkToFit="0" vertical="bottom" wrapText="0"/>
    </xf>
    <xf borderId="9" fillId="4" fontId="8" numFmtId="0" xfId="0" applyAlignment="1" applyBorder="1" applyFont="1">
      <alignment readingOrder="0" shrinkToFit="0" vertical="center" wrapText="0"/>
    </xf>
    <xf borderId="10" fillId="7" fontId="8" numFmtId="49" xfId="0" applyAlignment="1" applyBorder="1" applyFont="1" applyNumberFormat="1">
      <alignment shrinkToFit="0" vertical="center" wrapText="0"/>
    </xf>
    <xf borderId="9" fillId="7" fontId="15" numFmtId="0" xfId="0" applyAlignment="1" applyBorder="1" applyFont="1">
      <alignment readingOrder="0" shrinkToFit="0" vertical="center" wrapText="0"/>
    </xf>
    <xf borderId="10" fillId="0" fontId="5" numFmtId="49" xfId="0" applyAlignment="1" applyBorder="1" applyFont="1" applyNumberFormat="1">
      <alignment shrinkToFit="0" vertical="bottom" wrapText="0"/>
    </xf>
    <xf borderId="6" fillId="4" fontId="8" numFmtId="0" xfId="0" applyAlignment="1" applyBorder="1" applyFont="1">
      <alignment readingOrder="0" shrinkToFit="0" vertical="center" wrapText="0"/>
    </xf>
    <xf borderId="21" fillId="0" fontId="5" numFmtId="49" xfId="0" applyAlignment="1" applyBorder="1" applyFont="1" applyNumberFormat="1">
      <alignment shrinkToFit="0" vertical="bottom" wrapText="0"/>
    </xf>
    <xf borderId="7" fillId="4" fontId="8" numFmtId="49" xfId="0" applyAlignment="1" applyBorder="1" applyFont="1" applyNumberFormat="1">
      <alignment readingOrder="0" shrinkToFit="0" vertical="center" wrapText="0"/>
    </xf>
    <xf borderId="9" fillId="7" fontId="14" numFmtId="0" xfId="0" applyAlignment="1" applyBorder="1" applyFont="1">
      <alignment readingOrder="0" shrinkToFit="0" vertical="center" wrapText="0"/>
    </xf>
    <xf borderId="6" fillId="7" fontId="14" numFmtId="0" xfId="0" applyAlignment="1" applyBorder="1" applyFont="1">
      <alignment shrinkToFit="0" vertical="center" wrapText="0"/>
    </xf>
    <xf borderId="6" fillId="4" fontId="13" numFmtId="0" xfId="0" applyAlignment="1" applyBorder="1" applyFont="1">
      <alignment shrinkToFit="0" vertical="center" wrapText="0"/>
    </xf>
    <xf borderId="6" fillId="4" fontId="16" numFmtId="0" xfId="0" applyAlignment="1" applyBorder="1" applyFont="1">
      <alignment readingOrder="0" shrinkToFit="0" vertical="center" wrapText="0"/>
    </xf>
    <xf borderId="22" fillId="8" fontId="8" numFmtId="49" xfId="0" applyAlignment="1" applyBorder="1" applyFont="1" applyNumberFormat="1">
      <alignment shrinkToFit="0" vertical="center" wrapText="0"/>
    </xf>
    <xf borderId="6" fillId="4" fontId="5" numFmtId="49" xfId="0" applyAlignment="1" applyBorder="1" applyFont="1" applyNumberFormat="1">
      <alignment readingOrder="0" shrinkToFit="0" vertical="center" wrapText="0"/>
    </xf>
    <xf borderId="7" fillId="4" fontId="5" numFmtId="49" xfId="0" applyAlignment="1" applyBorder="1" applyFont="1" applyNumberFormat="1">
      <alignment shrinkToFit="0" vertical="center" wrapText="0"/>
    </xf>
    <xf borderId="9" fillId="7" fontId="4" numFmtId="0" xfId="0" applyAlignment="1" applyBorder="1" applyFont="1">
      <alignment shrinkToFit="0" vertical="center" wrapText="0"/>
    </xf>
    <xf borderId="23" fillId="0" fontId="5" numFmtId="0" xfId="0" applyAlignment="1" applyBorder="1" applyFont="1">
      <alignment readingOrder="0" shrinkToFit="0" vertical="center" wrapText="0"/>
    </xf>
    <xf borderId="6" fillId="7" fontId="5" numFmtId="0" xfId="0" applyAlignment="1" applyBorder="1" applyFont="1">
      <alignment shrinkToFit="0" vertical="center" wrapText="0"/>
    </xf>
    <xf borderId="6" fillId="7" fontId="8" numFmtId="0" xfId="0" applyAlignment="1" applyBorder="1" applyFont="1">
      <alignment readingOrder="0" shrinkToFit="0" vertical="center" wrapText="0"/>
    </xf>
    <xf borderId="9" fillId="4" fontId="14" numFmtId="0" xfId="0" applyAlignment="1" applyBorder="1" applyFont="1">
      <alignment shrinkToFit="0" vertical="center" wrapText="0"/>
    </xf>
    <xf borderId="9" fillId="4" fontId="8" numFmtId="49" xfId="0" applyAlignment="1" applyBorder="1" applyFont="1" applyNumberFormat="1">
      <alignment shrinkToFit="0" vertical="center" wrapText="0"/>
    </xf>
    <xf borderId="10" fillId="4" fontId="8" numFmtId="49" xfId="0" applyAlignment="1" applyBorder="1" applyFont="1" applyNumberFormat="1">
      <alignment shrinkToFit="0" vertical="center" wrapText="0"/>
    </xf>
    <xf borderId="9" fillId="4" fontId="5" numFmtId="0" xfId="0" applyAlignment="1" applyBorder="1" applyFont="1">
      <alignment shrinkToFit="0" vertical="center" wrapText="0"/>
    </xf>
    <xf borderId="9" fillId="0" fontId="1" numFmtId="49" xfId="0" applyAlignment="1" applyBorder="1" applyFont="1" applyNumberFormat="1">
      <alignment readingOrder="0" shrinkToFit="0" vertical="center" wrapText="0"/>
    </xf>
    <xf borderId="10" fillId="0" fontId="1" numFmtId="49" xfId="0" applyAlignment="1" applyBorder="1" applyFont="1" applyNumberFormat="1">
      <alignment readingOrder="0" shrinkToFit="0" vertical="center" wrapText="0"/>
    </xf>
    <xf borderId="9" fillId="7" fontId="5" numFmtId="0" xfId="0" applyAlignment="1" applyBorder="1" applyFont="1">
      <alignment shrinkToFit="0" vertical="center" wrapText="0"/>
    </xf>
    <xf borderId="9" fillId="7" fontId="14" numFmtId="0" xfId="0" applyAlignment="1" applyBorder="1" applyFont="1">
      <alignment shrinkToFit="0" vertical="center" wrapText="0"/>
    </xf>
    <xf borderId="6" fillId="4" fontId="14" numFmtId="0" xfId="0" applyAlignment="1" applyBorder="1" applyFont="1">
      <alignment shrinkToFit="0" vertical="center" wrapText="0"/>
    </xf>
    <xf borderId="6" fillId="0" fontId="1" numFmtId="0" xfId="0" applyAlignment="1" applyBorder="1" applyFont="1">
      <alignment shrinkToFit="0" vertical="center" wrapText="0"/>
    </xf>
    <xf borderId="9" fillId="0" fontId="1" numFmtId="0" xfId="0" applyAlignment="1" applyBorder="1" applyFont="1">
      <alignment shrinkToFit="0" vertical="center" wrapText="0"/>
    </xf>
    <xf borderId="25"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23" fillId="7" fontId="8" numFmtId="49" xfId="0" applyAlignment="1" applyBorder="1" applyFont="1" applyNumberFormat="1">
      <alignment shrinkToFit="0" vertical="center" wrapText="0"/>
    </xf>
    <xf borderId="6" fillId="7" fontId="16" numFmtId="0" xfId="0" applyAlignment="1" applyBorder="1" applyFont="1">
      <alignment shrinkToFit="0" vertical="center" wrapText="0"/>
    </xf>
    <xf borderId="6" fillId="7" fontId="8" numFmtId="0" xfId="0" applyAlignment="1" applyBorder="1" applyFont="1">
      <alignment shrinkToFit="0" vertical="center" wrapText="0"/>
    </xf>
    <xf borderId="6" fillId="7" fontId="8" numFmtId="0" xfId="0" applyAlignment="1" applyBorder="1" applyFont="1">
      <alignment horizontal="center" shrinkToFit="0" vertical="center" wrapText="0"/>
    </xf>
    <xf borderId="6" fillId="7" fontId="8" numFmtId="0" xfId="0" applyAlignment="1" applyBorder="1" applyFont="1">
      <alignment horizontal="right" shrinkToFit="0" vertical="center" wrapText="0"/>
    </xf>
    <xf borderId="6" fillId="7" fontId="8" numFmtId="49" xfId="0" applyAlignment="1" applyBorder="1" applyFont="1" applyNumberFormat="1">
      <alignment shrinkToFit="0" vertical="center" wrapText="0"/>
    </xf>
    <xf borderId="6" fillId="7" fontId="5" numFmtId="49" xfId="0" applyAlignment="1" applyBorder="1" applyFont="1" applyNumberFormat="1">
      <alignment shrinkToFit="0" vertical="center" wrapText="0"/>
    </xf>
    <xf borderId="7" fillId="7" fontId="5" numFmtId="49" xfId="0" applyAlignment="1" applyBorder="1" applyFont="1" applyNumberFormat="1">
      <alignment shrinkToFit="0" vertical="center" wrapText="0"/>
    </xf>
    <xf borderId="6" fillId="4" fontId="16" numFmtId="0" xfId="0" applyAlignment="1" applyBorder="1" applyFont="1">
      <alignment shrinkToFit="0" vertical="center" wrapText="0"/>
    </xf>
    <xf borderId="34" fillId="0" fontId="1" numFmtId="49" xfId="0" applyAlignment="1" applyBorder="1" applyFont="1" applyNumberFormat="1">
      <alignment readingOrder="0" shrinkToFit="0" vertical="center" wrapText="0"/>
    </xf>
    <xf borderId="4" fillId="0" fontId="1" numFmtId="0" xfId="0" applyAlignment="1" applyBorder="1" applyFont="1">
      <alignment shrinkToFit="0" vertical="center" wrapText="0"/>
    </xf>
    <xf borderId="6" fillId="0" fontId="1" numFmtId="0" xfId="0" applyAlignment="1" applyBorder="1" applyFont="1">
      <alignment horizontal="center" shrinkToFit="0" vertical="center" wrapText="0"/>
    </xf>
    <xf borderId="6" fillId="0" fontId="1" numFmtId="0" xfId="0" applyAlignment="1" applyBorder="1" applyFont="1">
      <alignment shrinkToFit="0" vertical="center" wrapText="0"/>
    </xf>
    <xf borderId="7" fillId="0" fontId="1" numFmtId="49" xfId="0" applyAlignment="1" applyBorder="1" applyFont="1" applyNumberForma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horizontal="center" shrinkToFit="0" vertical="center" wrapText="0"/>
    </xf>
    <xf borderId="9" fillId="0" fontId="1" numFmtId="0" xfId="0" applyAlignment="1" applyBorder="1" applyFont="1">
      <alignment shrinkToFit="0" vertical="center" wrapText="0"/>
    </xf>
    <xf borderId="10" fillId="0" fontId="1" numFmtId="49" xfId="0" applyAlignment="1" applyBorder="1" applyFont="1" applyNumberFormat="1">
      <alignment shrinkToFit="0" vertical="center" wrapText="0"/>
    </xf>
    <xf borderId="35" fillId="9" fontId="1" numFmtId="49" xfId="0" applyAlignment="1" applyBorder="1" applyFill="1" applyFont="1" applyNumberFormat="1">
      <alignment readingOrder="0" shrinkToFit="0" vertical="center" wrapText="0"/>
    </xf>
    <xf borderId="35" fillId="9" fontId="1" numFmtId="0" xfId="0" applyAlignment="1" applyBorder="1" applyFont="1">
      <alignment shrinkToFit="0" vertical="center" wrapText="0"/>
    </xf>
    <xf borderId="35" fillId="9" fontId="1" numFmtId="0" xfId="0" applyAlignment="1" applyBorder="1" applyFont="1">
      <alignment readingOrder="0" shrinkToFit="0" vertical="center" wrapText="0"/>
    </xf>
    <xf borderId="35" fillId="9" fontId="1" numFmtId="0" xfId="0" applyAlignment="1" applyBorder="1" applyFont="1">
      <alignment horizontal="center" readingOrder="0" shrinkToFit="0" vertical="center" wrapText="0"/>
    </xf>
    <xf borderId="35" fillId="9" fontId="1" numFmtId="0" xfId="0" applyAlignment="1" applyBorder="1" applyFont="1">
      <alignment readingOrder="0" shrinkToFit="0" vertical="center" wrapText="0"/>
    </xf>
    <xf borderId="35" fillId="9" fontId="1" numFmtId="49" xfId="0" applyAlignment="1" applyBorder="1" applyFont="1" applyNumberForma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36" fillId="9" fontId="5" numFmtId="0" xfId="0" applyAlignment="1" applyBorder="1" applyFont="1">
      <alignment readingOrder="0" shrinkToFit="0" vertical="bottom" wrapText="0"/>
    </xf>
    <xf borderId="36" fillId="9" fontId="1" numFmtId="0" xfId="0" applyAlignment="1" applyBorder="1" applyFont="1">
      <alignment readingOrder="0" shrinkToFit="0" vertical="center" wrapText="0"/>
    </xf>
    <xf borderId="9" fillId="7" fontId="16" numFmtId="0" xfId="0" applyAlignment="1" applyBorder="1" applyFont="1">
      <alignment shrinkToFit="0" vertical="center" wrapText="0"/>
    </xf>
    <xf borderId="9" fillId="7" fontId="8" numFmtId="0" xfId="0" applyAlignment="1" applyBorder="1" applyFont="1">
      <alignment shrinkToFit="0" vertical="center" wrapText="0"/>
    </xf>
    <xf borderId="9" fillId="7" fontId="8" numFmtId="0" xfId="0" applyAlignment="1" applyBorder="1" applyFont="1">
      <alignment horizontal="center" shrinkToFit="0" vertical="center" wrapText="0"/>
    </xf>
    <xf borderId="9" fillId="7" fontId="8" numFmtId="0" xfId="0" applyAlignment="1" applyBorder="1" applyFont="1">
      <alignment horizontal="right" shrinkToFit="0" vertical="center" wrapText="0"/>
    </xf>
    <xf borderId="9" fillId="7" fontId="5" numFmtId="49" xfId="0" applyAlignment="1" applyBorder="1" applyFont="1" applyNumberFormat="1">
      <alignment shrinkToFit="0" vertical="center" wrapText="0"/>
    </xf>
    <xf borderId="10" fillId="7" fontId="5" numFmtId="49" xfId="0" applyAlignment="1" applyBorder="1" applyFont="1" applyNumberFormat="1">
      <alignment shrinkToFit="0" vertical="center" wrapText="0"/>
    </xf>
    <xf borderId="9" fillId="4" fontId="16" numFmtId="0" xfId="0" applyAlignment="1" applyBorder="1" applyFont="1">
      <alignment shrinkToFit="0" vertical="center" wrapText="0"/>
    </xf>
    <xf borderId="9" fillId="4" fontId="8" numFmtId="0" xfId="0" applyAlignment="1" applyBorder="1" applyFont="1">
      <alignment shrinkToFit="0" vertical="center" wrapText="0"/>
    </xf>
    <xf borderId="9" fillId="4" fontId="8" numFmtId="0" xfId="0" applyAlignment="1" applyBorder="1" applyFont="1">
      <alignment horizontal="center" shrinkToFit="0" vertical="center" wrapText="0"/>
    </xf>
    <xf borderId="9" fillId="4" fontId="8" numFmtId="0" xfId="0" applyAlignment="1" applyBorder="1" applyFont="1">
      <alignment horizontal="right" shrinkToFit="0" vertical="center" wrapText="0"/>
    </xf>
    <xf borderId="9" fillId="4" fontId="5" numFmtId="49" xfId="0" applyAlignment="1" applyBorder="1" applyFont="1" applyNumberFormat="1">
      <alignment shrinkToFit="0" vertical="center" wrapText="0"/>
    </xf>
    <xf borderId="10" fillId="4" fontId="5" numFmtId="49" xfId="0" applyAlignment="1" applyBorder="1" applyFont="1" applyNumberFormat="1">
      <alignment shrinkToFit="0" vertical="center" wrapText="0"/>
    </xf>
    <xf borderId="6" fillId="7" fontId="8" numFmtId="0" xfId="0" applyAlignment="1" applyBorder="1" applyFont="1">
      <alignment horizontal="center" readingOrder="0" shrinkToFit="0" vertical="center" wrapText="0"/>
    </xf>
    <xf borderId="37" fillId="9" fontId="5" numFmtId="0" xfId="0" applyAlignment="1" applyBorder="1" applyFont="1">
      <alignment readingOrder="0" shrinkToFit="0" vertical="bottom" wrapText="0"/>
    </xf>
    <xf borderId="32" fillId="7" fontId="8" numFmtId="49" xfId="0" applyAlignment="1" applyBorder="1" applyFont="1" applyNumberFormat="1">
      <alignment shrinkToFit="0" vertical="center" wrapText="0"/>
    </xf>
    <xf borderId="32" fillId="7" fontId="5" numFmtId="0" xfId="0" applyAlignment="1" applyBorder="1" applyFont="1">
      <alignment shrinkToFit="0" vertical="center" wrapText="0"/>
    </xf>
    <xf borderId="32" fillId="7" fontId="16" numFmtId="0" xfId="0" applyAlignment="1" applyBorder="1" applyFont="1">
      <alignment shrinkToFit="0" vertical="center" wrapText="0"/>
    </xf>
    <xf borderId="32" fillId="7" fontId="8" numFmtId="0" xfId="0" applyAlignment="1" applyBorder="1" applyFont="1">
      <alignment shrinkToFit="0" vertical="center" wrapText="0"/>
    </xf>
    <xf borderId="32" fillId="7" fontId="8" numFmtId="0" xfId="0" applyAlignment="1" applyBorder="1" applyFont="1">
      <alignment horizontal="center" shrinkToFit="0" vertical="center" wrapText="0"/>
    </xf>
    <xf borderId="32" fillId="7" fontId="8" numFmtId="0" xfId="0" applyAlignment="1" applyBorder="1" applyFont="1">
      <alignment horizontal="right" shrinkToFit="0" vertical="center" wrapText="0"/>
    </xf>
    <xf borderId="32" fillId="7" fontId="5" numFmtId="49" xfId="0" applyAlignment="1" applyBorder="1" applyFont="1" applyNumberFormat="1">
      <alignment shrinkToFit="0" vertical="center" wrapText="0"/>
    </xf>
    <xf borderId="33" fillId="7" fontId="5" numFmtId="49" xfId="0" applyAlignment="1" applyBorder="1" applyFont="1" applyNumberFormat="1">
      <alignment shrinkToFit="0" vertical="center" wrapText="0"/>
    </xf>
    <xf borderId="38" fillId="0" fontId="1" numFmtId="0" xfId="0" applyAlignment="1" applyBorder="1" applyFont="1">
      <alignment horizontal="left" readingOrder="0" shrinkToFit="0" vertical="center" wrapText="1"/>
    </xf>
    <xf borderId="39" fillId="0" fontId="1" numFmtId="0" xfId="0" applyAlignment="1" applyBorder="1" applyFont="1">
      <alignment horizontal="left" readingOrder="0" shrinkToFit="0" vertical="center" wrapText="1"/>
    </xf>
    <xf borderId="39" fillId="0" fontId="1" numFmtId="0" xfId="0" applyAlignment="1" applyBorder="1" applyFont="1">
      <alignment horizontal="left" readingOrder="0" shrinkToFit="0" vertical="center" wrapText="0"/>
    </xf>
    <xf borderId="39" fillId="0" fontId="1" numFmtId="0" xfId="0" applyAlignment="1" applyBorder="1" applyFont="1">
      <alignment horizontal="left" readingOrder="0" shrinkToFit="0" vertical="center" wrapText="0"/>
    </xf>
    <xf borderId="40" fillId="0" fontId="1" numFmtId="0" xfId="0" applyAlignment="1" applyBorder="1" applyFont="1">
      <alignment horizontal="left" readingOrder="0" shrinkToFit="0" vertical="center" wrapText="1"/>
    </xf>
    <xf borderId="41"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42" fillId="0" fontId="1" numFmtId="49" xfId="0" applyAlignment="1" applyBorder="1" applyFont="1" applyNumberFormat="1">
      <alignment shrinkToFit="0" vertical="center" wrapText="0"/>
    </xf>
    <xf borderId="43"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4" fillId="0" fontId="1" numFmtId="49" xfId="0" applyAlignment="1" applyBorder="1" applyFont="1" applyNumberFormat="1">
      <alignment shrinkToFit="0" vertical="center" wrapText="0"/>
    </xf>
    <xf borderId="6" fillId="0" fontId="5" numFmtId="0" xfId="0" applyAlignment="1" applyBorder="1" applyFont="1">
      <alignment shrinkToFit="0" vertical="bottom" wrapText="0"/>
    </xf>
    <xf borderId="9" fillId="0" fontId="5" numFmtId="0" xfId="0" applyAlignment="1" applyBorder="1" applyFont="1">
      <alignment shrinkToFit="0" vertical="bottom" wrapText="0"/>
    </xf>
    <xf borderId="9" fillId="0" fontId="5" numFmtId="0" xfId="0" applyAlignment="1" applyBorder="1" applyFont="1">
      <alignment readingOrder="0" shrinkToFit="0" vertical="bottom" wrapText="0"/>
    </xf>
    <xf borderId="41" fillId="0" fontId="17" numFmtId="0" xfId="0" applyAlignment="1" applyBorder="1" applyFont="1">
      <alignment readingOrder="0" shrinkToFit="0" vertical="center" wrapText="0"/>
    </xf>
    <xf borderId="6" fillId="0" fontId="5" numFmtId="0" xfId="0" applyAlignment="1" applyBorder="1" applyFont="1">
      <alignment readingOrder="0" shrinkToFit="0" vertical="bottom" wrapText="0"/>
    </xf>
    <xf borderId="6"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3" fillId="0" fontId="1" numFmtId="49" xfId="0" applyAlignment="1" applyBorder="1" applyFont="1" applyNumberFormat="1">
      <alignment readingOrder="0" shrinkToFit="0" vertical="center" wrapText="0"/>
    </xf>
    <xf borderId="41" fillId="0" fontId="1" numFmtId="49" xfId="0" applyAlignment="1" applyBorder="1" applyFont="1" applyNumberFormat="1">
      <alignment readingOrder="0" shrinkToFit="0" vertical="center" wrapText="0"/>
    </xf>
    <xf borderId="9" fillId="0" fontId="5" numFmtId="0" xfId="0" applyAlignment="1" applyBorder="1" applyFont="1">
      <alignment shrinkToFit="0" vertical="bottom" wrapText="0"/>
    </xf>
    <xf borderId="6" fillId="0" fontId="5" numFmtId="0" xfId="0" applyAlignment="1" applyBorder="1" applyFont="1">
      <alignment shrinkToFit="0" vertical="bottom" wrapText="0"/>
    </xf>
    <xf borderId="43" fillId="0" fontId="5" numFmtId="49" xfId="0" applyAlignment="1" applyBorder="1" applyFont="1" applyNumberFormat="1">
      <alignment shrinkToFit="0" vertical="bottom" wrapText="0"/>
    </xf>
    <xf borderId="41" fillId="0" fontId="5" numFmtId="49" xfId="0" applyAlignment="1" applyBorder="1" applyFont="1" applyNumberFormat="1">
      <alignment shrinkToFit="0" vertical="bottom" wrapText="0"/>
    </xf>
    <xf borderId="43" fillId="0" fontId="1" numFmtId="49" xfId="0" applyAlignment="1" applyBorder="1" applyFont="1" applyNumberFormat="1">
      <alignment shrinkToFit="0" vertical="center" wrapText="0"/>
    </xf>
    <xf borderId="41" fillId="0" fontId="1" numFmtId="49" xfId="0" applyAlignment="1" applyBorder="1" applyFont="1" applyNumberFormat="1">
      <alignment shrinkToFit="0" vertical="center" wrapText="0"/>
    </xf>
    <xf borderId="45" fillId="0" fontId="1" numFmtId="49" xfId="0" applyAlignment="1" applyBorder="1" applyFont="1" applyNumberFormat="1">
      <alignment shrinkToFit="0" vertical="center" wrapText="0"/>
    </xf>
    <xf borderId="46" fillId="0" fontId="1" numFmtId="0" xfId="0" applyAlignment="1" applyBorder="1" applyFont="1">
      <alignment shrinkToFit="0" vertical="center" wrapText="0"/>
    </xf>
    <xf borderId="46" fillId="0" fontId="1" numFmtId="0" xfId="0" applyAlignment="1" applyBorder="1" applyFont="1">
      <alignment shrinkToFit="0" vertical="center" wrapText="0"/>
    </xf>
    <xf borderId="46" fillId="0" fontId="1" numFmtId="0" xfId="0" applyAlignment="1" applyBorder="1" applyFont="1">
      <alignment shrinkToFit="0" vertical="center" wrapText="0"/>
    </xf>
    <xf borderId="47" fillId="0" fontId="1" numFmtId="49" xfId="0" applyAlignment="1" applyBorder="1" applyFont="1" applyNumberFormat="1">
      <alignment shrinkToFit="0" vertical="center" wrapText="0"/>
    </xf>
    <xf borderId="1"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3" fillId="0" fontId="1" numFmtId="49" xfId="0" applyAlignment="1" applyBorder="1" applyFont="1" applyNumberFormat="1">
      <alignment horizontal="center" readingOrder="0" shrinkToFit="0" vertical="center" wrapText="0"/>
    </xf>
    <xf borderId="0" fillId="0" fontId="1" numFmtId="0" xfId="0" applyAlignment="1" applyFont="1">
      <alignment horizontal="center" shrinkToFit="0" wrapText="1"/>
    </xf>
    <xf borderId="48" fillId="0" fontId="1" numFmtId="0" xfId="0" applyAlignment="1" applyBorder="1" applyFont="1">
      <alignment horizontal="center" readingOrder="0" shrinkToFit="0" vertical="center" wrapText="1"/>
    </xf>
    <xf borderId="48" fillId="5" fontId="1" numFmtId="49" xfId="0" applyAlignment="1" applyBorder="1" applyFont="1" applyNumberFormat="1">
      <alignment readingOrder="0" shrinkToFit="0" vertical="center" wrapText="1"/>
    </xf>
    <xf borderId="48" fillId="0" fontId="1" numFmtId="0" xfId="0" applyAlignment="1" applyBorder="1" applyFont="1">
      <alignment horizontal="left" readingOrder="0" shrinkToFit="0" vertical="center" wrapText="1"/>
    </xf>
    <xf borderId="48" fillId="0" fontId="1" numFmtId="0" xfId="0" applyAlignment="1" applyBorder="1" applyFont="1">
      <alignment readingOrder="0" shrinkToFit="0" vertical="center" wrapText="1"/>
    </xf>
    <xf borderId="48" fillId="0" fontId="1" numFmtId="49" xfId="0" applyAlignment="1" applyBorder="1" applyFont="1" applyNumberFormat="1">
      <alignment readingOrder="0" shrinkToFit="0" vertical="center" wrapText="1"/>
    </xf>
    <xf borderId="48" fillId="0" fontId="5" numFmtId="49" xfId="0" applyAlignment="1" applyBorder="1" applyFont="1" applyNumberFormat="1">
      <alignment shrinkToFit="0" vertical="bottom" wrapText="0"/>
    </xf>
    <xf borderId="0" fillId="0" fontId="1" numFmtId="0" xfId="0" applyAlignment="1" applyFont="1">
      <alignment shrinkToFit="0" wrapText="1"/>
    </xf>
    <xf borderId="48" fillId="0" fontId="5" numFmtId="0" xfId="0" applyAlignment="1" applyBorder="1" applyFont="1">
      <alignment horizontal="center" readingOrder="0" shrinkToFit="0" vertical="bottom" wrapText="1"/>
    </xf>
    <xf borderId="48" fillId="0" fontId="1" numFmtId="49" xfId="0" applyAlignment="1" applyBorder="1" applyFont="1" applyNumberFormat="1">
      <alignment readingOrder="0" shrinkToFit="0" vertical="center" wrapText="0"/>
    </xf>
    <xf borderId="48" fillId="0" fontId="1" numFmtId="0" xfId="0" applyAlignment="1" applyBorder="1" applyFont="1">
      <alignment readingOrder="0" shrinkToFit="0" vertical="center" wrapText="1"/>
    </xf>
    <xf borderId="48" fillId="0" fontId="5" numFmtId="49" xfId="0" applyAlignment="1" applyBorder="1" applyFont="1" applyNumberFormat="1">
      <alignment readingOrder="0" shrinkToFit="0" vertical="bottom" wrapText="0"/>
    </xf>
    <xf borderId="48" fillId="5" fontId="5" numFmtId="49" xfId="0" applyAlignment="1" applyBorder="1" applyFont="1" applyNumberFormat="1">
      <alignment readingOrder="0" shrinkToFit="0" vertical="bottom" wrapText="1"/>
    </xf>
    <xf borderId="48" fillId="0" fontId="5" numFmtId="0" xfId="0" applyAlignment="1" applyBorder="1" applyFont="1">
      <alignment horizontal="left" readingOrder="0" shrinkToFit="0" vertical="bottom" wrapText="1"/>
    </xf>
    <xf borderId="48" fillId="0" fontId="5" numFmtId="0" xfId="0" applyAlignment="1" applyBorder="1" applyFont="1">
      <alignment horizontal="right" readingOrder="0" shrinkToFit="0" vertical="bottom" wrapText="1"/>
    </xf>
    <xf borderId="48" fillId="0" fontId="5" numFmtId="0" xfId="0" applyAlignment="1" applyBorder="1" applyFont="1">
      <alignment horizontal="right" shrinkToFit="0" vertical="bottom" wrapText="1"/>
    </xf>
    <xf borderId="48" fillId="0" fontId="5" numFmtId="49" xfId="0" applyAlignment="1" applyBorder="1" applyFont="1" applyNumberFormat="1">
      <alignment shrinkToFit="0" vertical="bottom" wrapText="1"/>
    </xf>
    <xf borderId="48" fillId="4" fontId="7" numFmtId="49" xfId="0" applyAlignment="1" applyBorder="1" applyFont="1" applyNumberFormat="1">
      <alignment readingOrder="0" shrinkToFit="0" vertical="center" wrapText="0"/>
    </xf>
    <xf borderId="48" fillId="0" fontId="1" numFmtId="49" xfId="0" applyAlignment="1" applyBorder="1" applyFont="1" applyNumberFormat="1">
      <alignment shrinkToFit="0" vertical="center" wrapText="0"/>
    </xf>
    <xf borderId="48" fillId="5" fontId="1" numFmtId="0" xfId="0" applyAlignment="1" applyBorder="1" applyFont="1">
      <alignment readingOrder="0" shrinkToFit="0" vertical="center" wrapText="1"/>
    </xf>
    <xf borderId="48" fillId="0" fontId="5" numFmtId="49" xfId="0" applyAlignment="1" applyBorder="1" applyFont="1" applyNumberFormat="1">
      <alignment readingOrder="0" shrinkToFit="0" vertical="bottom" wrapText="1"/>
    </xf>
    <xf borderId="48" fillId="0" fontId="1" numFmtId="49" xfId="0" applyAlignment="1" applyBorder="1" applyFont="1" applyNumberFormat="1">
      <alignment shrinkToFit="0" vertical="center" wrapText="1"/>
    </xf>
    <xf borderId="48" fillId="0" fontId="5" numFmtId="0" xfId="0" applyAlignment="1" applyBorder="1" applyFont="1">
      <alignment horizontal="left" shrinkToFit="0" vertical="bottom" wrapText="1"/>
    </xf>
    <xf borderId="48" fillId="7" fontId="8" numFmtId="49" xfId="0" applyAlignment="1" applyBorder="1" applyFont="1" applyNumberFormat="1">
      <alignment shrinkToFit="0" vertical="center" wrapText="0"/>
    </xf>
    <xf borderId="48" fillId="4" fontId="8" numFmtId="49" xfId="0" applyAlignment="1" applyBorder="1" applyFont="1" applyNumberFormat="1">
      <alignment shrinkToFit="0" vertical="center" wrapText="0"/>
    </xf>
    <xf borderId="48" fillId="4" fontId="8" numFmtId="49" xfId="0" applyAlignment="1" applyBorder="1" applyFont="1" applyNumberFormat="1">
      <alignment readingOrder="0" shrinkToFit="0" vertical="center" wrapText="0"/>
    </xf>
    <xf borderId="48" fillId="0" fontId="1" numFmtId="49" xfId="0" applyAlignment="1" applyBorder="1" applyFont="1" applyNumberFormat="1">
      <alignment readingOrder="0" shrinkToFit="0" vertical="center" wrapText="0"/>
    </xf>
    <xf borderId="48" fillId="0" fontId="1" numFmtId="49" xfId="0" applyAlignment="1" applyBorder="1" applyFont="1" applyNumberFormat="1">
      <alignment readingOrder="0" shrinkToFit="0" vertical="center" wrapText="1"/>
    </xf>
    <xf borderId="48" fillId="0" fontId="5" numFmtId="0" xfId="0" applyAlignment="1" applyBorder="1" applyFont="1">
      <alignment readingOrder="0" shrinkToFit="0" vertical="center" wrapText="1"/>
    </xf>
    <xf borderId="48" fillId="5" fontId="8" numFmtId="49" xfId="0" applyAlignment="1" applyBorder="1" applyFont="1" applyNumberFormat="1">
      <alignment shrinkToFit="0" vertical="center" wrapText="0"/>
    </xf>
    <xf borderId="48" fillId="4" fontId="5" numFmtId="0" xfId="0" applyAlignment="1" applyBorder="1" applyFont="1">
      <alignment readingOrder="0" shrinkToFit="0" vertical="center" wrapText="1"/>
    </xf>
    <xf borderId="48" fillId="4" fontId="5" numFmtId="0" xfId="0" applyAlignment="1" applyBorder="1" applyFont="1">
      <alignment readingOrder="0" shrinkToFit="0" vertical="center" wrapText="0"/>
    </xf>
    <xf borderId="48" fillId="4" fontId="18" numFmtId="0" xfId="0" applyAlignment="1" applyBorder="1" applyFont="1">
      <alignment shrinkToFit="0" vertical="center" wrapText="0"/>
    </xf>
    <xf borderId="48" fillId="4" fontId="8" numFmtId="0" xfId="0" applyAlignment="1" applyBorder="1" applyFont="1">
      <alignment shrinkToFit="0" vertical="center" wrapText="0"/>
    </xf>
    <xf borderId="48" fillId="4" fontId="8" numFmtId="0" xfId="0" applyAlignment="1" applyBorder="1" applyFont="1">
      <alignment horizontal="right" shrinkToFit="0" vertical="center" wrapText="0"/>
    </xf>
    <xf borderId="48" fillId="0" fontId="1" numFmtId="49" xfId="0" applyAlignment="1" applyBorder="1" applyFont="1" applyNumberFormat="1">
      <alignment shrinkToFit="0" vertical="center" wrapText="0"/>
    </xf>
    <xf borderId="48" fillId="4" fontId="5" numFmtId="49" xfId="0" applyAlignment="1" applyBorder="1" applyFont="1" applyNumberFormat="1">
      <alignment shrinkToFit="0" vertical="center" wrapText="0"/>
    </xf>
    <xf borderId="48" fillId="4" fontId="8" numFmtId="49" xfId="0" applyAlignment="1" applyBorder="1" applyFont="1" applyNumberFormat="1">
      <alignment shrinkToFit="0" vertical="center" wrapText="1"/>
    </xf>
    <xf borderId="48" fillId="4" fontId="8" numFmtId="0" xfId="0" applyAlignment="1" applyBorder="1" applyFont="1">
      <alignment horizontal="left" shrinkToFit="0" vertical="center" wrapText="1"/>
    </xf>
    <xf borderId="48" fillId="4" fontId="8" numFmtId="0" xfId="0" applyAlignment="1" applyBorder="1" applyFont="1">
      <alignment horizontal="right" shrinkToFit="0" vertical="center" wrapText="1"/>
    </xf>
    <xf borderId="48" fillId="8" fontId="8" numFmtId="49" xfId="0" applyAlignment="1" applyBorder="1" applyFont="1" applyNumberFormat="1">
      <alignment shrinkToFit="0" vertical="center" wrapText="1"/>
    </xf>
    <xf borderId="48" fillId="4" fontId="11" numFmtId="49" xfId="0" applyAlignment="1" applyBorder="1" applyFont="1" applyNumberFormat="1">
      <alignment readingOrder="0" shrinkToFit="0" vertical="center" wrapText="1"/>
    </xf>
    <xf borderId="23" fillId="10" fontId="1" numFmtId="49" xfId="0" applyAlignment="1" applyBorder="1" applyFill="1" applyFont="1" applyNumberFormat="1">
      <alignment readingOrder="0" shrinkToFit="0" vertical="center" wrapText="0"/>
    </xf>
    <xf borderId="49" fillId="0" fontId="1" numFmtId="49" xfId="0" applyAlignment="1" applyBorder="1" applyFont="1" applyNumberFormat="1">
      <alignment shrinkToFit="0" vertical="center" wrapText="0"/>
    </xf>
    <xf borderId="0" fillId="0" fontId="1" numFmtId="0" xfId="0" applyAlignment="1" applyFont="1">
      <alignment shrinkToFit="0"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fill>
        <patternFill patternType="solid">
          <fgColor rgb="FFFFFFFF"/>
          <bgColor rgb="FFFFFFFF"/>
        </patternFill>
      </fill>
      <border/>
    </dxf>
    <dxf>
      <font/>
      <fill>
        <patternFill patternType="solid">
          <fgColor rgb="FF49564C"/>
          <bgColor rgb="FF49564C"/>
        </patternFill>
      </fill>
      <border/>
    </dxf>
  </dxfs>
  <tableStyles count="5">
    <tableStyle count="3" pivot="0" name="Submitted Slate - TOP 100-style">
      <tableStyleElement dxfId="1" type="headerRow"/>
      <tableStyleElement dxfId="2" type="firstRowStripe"/>
      <tableStyleElement dxfId="3" type="secondRowStripe"/>
    </tableStyle>
    <tableStyle count="3" pivot="0" name="Slate for Design-style">
      <tableStyleElement dxfId="1" type="headerRow"/>
      <tableStyleElement dxfId="2" type="firstRowStripe"/>
      <tableStyleElement dxfId="3" type="secondRowStripe"/>
    </tableStyle>
    <tableStyle count="3" pivot="0" name="Full Ambassador List-style">
      <tableStyleElement dxfId="1" type="headerRow"/>
      <tableStyleElement dxfId="2" type="firstRowStripe"/>
      <tableStyleElement dxfId="3" type="secondRowStripe"/>
    </tableStyle>
    <tableStyle count="3" pivot="0" name="Interview Checklist-style">
      <tableStyleElement dxfId="6" type="headerRow"/>
      <tableStyleElement dxfId="2" type="firstRowStripe"/>
      <tableStyleElement dxfId="3" type="secondRowStripe"/>
    </tableStyle>
    <tableStyle count="3" pivot="0" name="Social Media Delega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H100" displayName="Delegate_Applicants_2" name="Delegate_Applicants_2" id="1">
  <autoFilter ref="$A$1:$AH$100"/>
  <tableColumns count="34">
    <tableColumn name="cdfrvx" id="1"/>
    <tableColumn name="Delegate Candidate" id="2"/>
    <tableColumn name="Interviewer" id="3"/>
    <tableColumn name="Mark met with them" id="4"/>
    <tableColumn name="Dylan outreach" id="5"/>
    <tableColumn name="Column 34" id="6"/>
    <tableColumn name="Social Media" id="7"/>
    <tableColumn name="Fundr'ing" id="8"/>
    <tableColumn name="GOTV" id="9"/>
    <tableColumn name="Policy" id="10"/>
    <tableColumn name="Video for Amb Pg" id="11"/>
    <tableColumn name="Sex" id="12"/>
    <tableColumn name="Age Range" id="13"/>
    <tableColumn name="Verified as 35 and under" id="14"/>
    <tableColumn name="Phone" id="15"/>
    <tableColumn name="Email" id="16"/>
    <tableColumn name="City" id="17"/>
    <tableColumn name="State" id="18"/>
    <tableColumn name="Occupation" id="19"/>
    <tableColumn name="Notes" id="20"/>
    <tableColumn name="Column 2" id="21"/>
    <tableColumn name="Column 3" id="22"/>
    <tableColumn name="Column 4" id="23"/>
    <tableColumn name="Column 5" id="24"/>
    <tableColumn name="Column 6" id="25"/>
    <tableColumn name="Column 7" id="26"/>
    <tableColumn name="Column 8" id="27"/>
    <tableColumn name="Column 9" id="28"/>
    <tableColumn name="Column 10" id="29"/>
    <tableColumn name="Column 11" id="30"/>
    <tableColumn name="Column 12" id="31"/>
    <tableColumn name="Column 13" id="32"/>
    <tableColumn name="Column 14" id="33"/>
    <tableColumn name="Column 15" id="34"/>
  </tableColumns>
  <tableStyleInfo name="Submitted Slate - TOP 100-style" showColumnStripes="0" showFirstColumn="1" showLastColumn="1" showRowStripes="1"/>
</table>
</file>

<file path=xl/tables/table2.xml><?xml version="1.0" encoding="utf-8"?>
<table xmlns="http://schemas.openxmlformats.org/spreadsheetml/2006/main" ref="A1:E101" displayName="Delegate_Applicants_4" name="Delegate_Applicants_4" id="2">
  <tableColumns count="5">
    <tableColumn name="Column 3" id="1"/>
    <tableColumn name="Delegate Candidate" id="2"/>
    <tableColumn name="Column 1" id="3"/>
    <tableColumn name="Column 2" id="4"/>
    <tableColumn name="Column 4" id="5"/>
  </tableColumns>
  <tableStyleInfo name="Slate for Design-style" showColumnStripes="0" showFirstColumn="1" showLastColumn="1" showRowStripes="1"/>
</table>
</file>

<file path=xl/tables/table3.xml><?xml version="1.0" encoding="utf-8"?>
<table xmlns="http://schemas.openxmlformats.org/spreadsheetml/2006/main" ref="A1:N401" displayName="Delegate_Applicants" name="Delegate_Applicants" id="3">
  <autoFilter ref="$A$1:$N$401"/>
  <tableColumns count="14">
    <tableColumn name="#" id="1"/>
    <tableColumn name="Name" id="2"/>
    <tableColumn name="Interviewer" id="3"/>
    <tableColumn name="Stage" id="4"/>
    <tableColumn name="Role" id="5"/>
    <tableColumn name="Sex" id="6"/>
    <tableColumn name="Age Range" id="7"/>
    <tableColumn name="Verified as 35 and under" id="8"/>
    <tableColumn name="Phone" id="9"/>
    <tableColumn name="Email" id="10"/>
    <tableColumn name="City" id="11"/>
    <tableColumn name="State" id="12"/>
    <tableColumn name="Occupation" id="13"/>
    <tableColumn name="Notes" id="14"/>
  </tableColumns>
  <tableStyleInfo name="Full Ambassador List-style" showColumnStripes="0" showFirstColumn="1" showLastColumn="1" showRowStripes="1"/>
</table>
</file>

<file path=xl/tables/table4.xml><?xml version="1.0" encoding="utf-8"?>
<table xmlns="http://schemas.openxmlformats.org/spreadsheetml/2006/main" ref="A1:G85" displayName="Interview_Checklist" name="Interview_Checklist" id="4">
  <tableColumns count="7">
    <tableColumn name="Name" id="1"/>
    <tableColumn name="Owner" id="2"/>
    <tableColumn name="1. Signed NDA" id="3"/>
    <tableColumn name="2. By Laws Emailed" id="4"/>
    <tableColumn name="3. Survey Complete" id="5"/>
    <tableColumn name="Column 1" id="6"/>
    <tableColumn name="Notes" id="7"/>
  </tableColumns>
  <tableStyleInfo name="Interview Checklist-style" showColumnStripes="0" showFirstColumn="1" showLastColumn="1" showRowStripes="1"/>
</table>
</file>

<file path=xl/tables/table5.xml><?xml version="1.0" encoding="utf-8"?>
<table xmlns="http://schemas.openxmlformats.org/spreadsheetml/2006/main" ref="A1:M102" displayName="Delegate_Applicants_3" name="Delegate_Applicants_3" id="5">
  <tableColumns count="13">
    <tableColumn name="itr" id="1"/>
    <tableColumn name="NAME" id="2"/>
    <tableColumn name="MEDIA ROLE" id="3"/>
    <tableColumn name="INSTAGRAM" id="4"/>
    <tableColumn name="X" id="5"/>
    <tableColumn name="PODCAST" id="6"/>
    <tableColumn name="CONTENT CREATION" id="7"/>
    <tableColumn name="PHONE" id="8"/>
    <tableColumn name="EMAIL" id="9"/>
    <tableColumn name="CITY" id="10"/>
    <tableColumn name="STATE" id="11"/>
    <tableColumn name="OCCUPATION" id="12"/>
    <tableColumn name="NOTES" id="13"/>
  </tableColumns>
  <tableStyleInfo name="Social Media Deleg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dasirota@hot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mailto:rachael.chevalier@1jstate.com" TargetMode="External"/><Relationship Id="rId2" Type="http://schemas.openxmlformats.org/officeDocument/2006/relationships/drawing" Target="../drawings/drawing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26.63"/>
    <col customWidth="1" min="3" max="3" width="22.38"/>
    <col customWidth="1" min="4" max="6" width="17.5"/>
    <col customWidth="1" hidden="1" min="7" max="7" width="13.88"/>
    <col customWidth="1" hidden="1" min="8" max="8" width="13.25"/>
    <col customWidth="1" hidden="1" min="9" max="9" width="13.13"/>
    <col customWidth="1" hidden="1" min="10" max="10" width="10.5"/>
    <col customWidth="1" min="11" max="11" width="15.88"/>
    <col customWidth="1" min="12" max="12" width="13.88"/>
    <col customWidth="1" min="13" max="13" width="14.13"/>
    <col customWidth="1" min="14" max="14" width="15.13"/>
    <col customWidth="1" min="15" max="15" width="14.13"/>
    <col customWidth="1" min="16" max="16" width="32.63"/>
    <col customWidth="1" min="17" max="17" width="16.75"/>
    <col customWidth="1" min="18" max="18" width="12.75"/>
    <col customWidth="1" min="19" max="19" width="25.75"/>
    <col customWidth="1" min="20" max="20" width="195.13"/>
  </cols>
  <sheetData>
    <row r="1">
      <c r="A1" s="1" t="s">
        <v>0</v>
      </c>
      <c r="B1" s="2" t="s">
        <v>1</v>
      </c>
      <c r="C1" s="2" t="s">
        <v>2</v>
      </c>
      <c r="D1" s="2" t="s">
        <v>3</v>
      </c>
      <c r="E1" s="2" t="s">
        <v>4</v>
      </c>
      <c r="F1" s="2" t="s">
        <v>5</v>
      </c>
      <c r="G1" s="3" t="s">
        <v>6</v>
      </c>
      <c r="H1" s="3" t="s">
        <v>7</v>
      </c>
      <c r="I1" s="3" t="s">
        <v>8</v>
      </c>
      <c r="J1" s="3" t="s">
        <v>9</v>
      </c>
      <c r="K1" s="2" t="s">
        <v>10</v>
      </c>
      <c r="L1" s="2" t="s">
        <v>11</v>
      </c>
      <c r="M1" s="2" t="s">
        <v>12</v>
      </c>
      <c r="N1" s="2" t="s">
        <v>13</v>
      </c>
      <c r="O1" s="2" t="s">
        <v>14</v>
      </c>
      <c r="P1" s="2" t="s">
        <v>15</v>
      </c>
      <c r="Q1" s="2" t="s">
        <v>16</v>
      </c>
      <c r="R1" s="2" t="s">
        <v>17</v>
      </c>
      <c r="S1" s="4" t="s">
        <v>18</v>
      </c>
      <c r="T1" s="2" t="s">
        <v>19</v>
      </c>
      <c r="U1" s="5" t="s">
        <v>20</v>
      </c>
      <c r="V1" s="5" t="s">
        <v>21</v>
      </c>
      <c r="W1" s="5" t="s">
        <v>22</v>
      </c>
      <c r="X1" s="5" t="s">
        <v>23</v>
      </c>
      <c r="Y1" s="5" t="s">
        <v>24</v>
      </c>
      <c r="Z1" s="5" t="s">
        <v>25</v>
      </c>
      <c r="AA1" s="5" t="s">
        <v>26</v>
      </c>
      <c r="AB1" s="5" t="s">
        <v>27</v>
      </c>
      <c r="AC1" s="5" t="s">
        <v>28</v>
      </c>
      <c r="AD1" s="5" t="s">
        <v>29</v>
      </c>
      <c r="AE1" s="5" t="s">
        <v>30</v>
      </c>
      <c r="AF1" s="5" t="s">
        <v>31</v>
      </c>
      <c r="AG1" s="5" t="s">
        <v>32</v>
      </c>
      <c r="AH1" s="6" t="s">
        <v>33</v>
      </c>
    </row>
    <row r="2">
      <c r="A2" s="7">
        <v>1.0</v>
      </c>
      <c r="B2" s="8" t="s">
        <v>34</v>
      </c>
      <c r="C2" s="9" t="s">
        <v>35</v>
      </c>
      <c r="D2" s="10" t="b">
        <v>1</v>
      </c>
      <c r="E2" s="9" t="b">
        <v>0</v>
      </c>
      <c r="F2" s="9"/>
      <c r="G2" s="11">
        <v>2.0</v>
      </c>
      <c r="H2" s="12"/>
      <c r="I2" s="13">
        <v>1.0</v>
      </c>
      <c r="J2" s="12"/>
      <c r="K2" s="12"/>
      <c r="L2" s="13" t="s">
        <v>36</v>
      </c>
      <c r="M2" s="13" t="s">
        <v>37</v>
      </c>
      <c r="N2" s="10" t="b">
        <v>0</v>
      </c>
      <c r="O2" s="14">
        <v>3.057998502E9</v>
      </c>
      <c r="P2" s="15" t="s">
        <v>38</v>
      </c>
      <c r="Q2" s="15" t="s">
        <v>39</v>
      </c>
      <c r="R2" s="15" t="s">
        <v>40</v>
      </c>
      <c r="S2" s="16" t="s">
        <v>41</v>
      </c>
      <c r="T2" s="16" t="s">
        <v>42</v>
      </c>
      <c r="U2" s="17"/>
      <c r="V2" s="17"/>
      <c r="W2" s="17"/>
      <c r="X2" s="17"/>
      <c r="Y2" s="17"/>
      <c r="Z2" s="17"/>
      <c r="AA2" s="17"/>
      <c r="AB2" s="17"/>
      <c r="AC2" s="17"/>
      <c r="AD2" s="17"/>
      <c r="AE2" s="17"/>
      <c r="AF2" s="17"/>
      <c r="AG2" s="17"/>
      <c r="AH2" s="18"/>
    </row>
    <row r="3">
      <c r="A3" s="19">
        <v>3.0</v>
      </c>
      <c r="B3" s="20" t="s">
        <v>43</v>
      </c>
      <c r="C3" s="21" t="s">
        <v>35</v>
      </c>
      <c r="D3" s="22" t="b">
        <v>1</v>
      </c>
      <c r="E3" s="21" t="b">
        <v>1</v>
      </c>
      <c r="F3" s="21" t="s">
        <v>44</v>
      </c>
      <c r="G3" s="23"/>
      <c r="H3" s="23"/>
      <c r="I3" s="23"/>
      <c r="J3" s="23"/>
      <c r="K3" s="24" t="s">
        <v>45</v>
      </c>
      <c r="L3" s="24" t="s">
        <v>36</v>
      </c>
      <c r="M3" s="24" t="s">
        <v>37</v>
      </c>
      <c r="N3" s="22" t="b">
        <v>0</v>
      </c>
      <c r="O3" s="25">
        <v>7.037255084E9</v>
      </c>
      <c r="P3" s="26" t="s">
        <v>46</v>
      </c>
      <c r="Q3" s="26" t="s">
        <v>47</v>
      </c>
      <c r="R3" s="26" t="s">
        <v>48</v>
      </c>
      <c r="S3" s="27" t="s">
        <v>49</v>
      </c>
      <c r="T3" s="28" t="s">
        <v>50</v>
      </c>
      <c r="U3" s="29"/>
      <c r="V3" s="29"/>
      <c r="W3" s="29"/>
      <c r="X3" s="29"/>
      <c r="Y3" s="29"/>
      <c r="Z3" s="29"/>
      <c r="AA3" s="29"/>
      <c r="AB3" s="29"/>
      <c r="AC3" s="29"/>
      <c r="AD3" s="29"/>
      <c r="AE3" s="29"/>
      <c r="AF3" s="29"/>
      <c r="AG3" s="29"/>
      <c r="AH3" s="30"/>
    </row>
    <row r="4">
      <c r="A4" s="31">
        <v>4.0</v>
      </c>
      <c r="B4" s="32" t="s">
        <v>51</v>
      </c>
      <c r="C4" s="9" t="s">
        <v>35</v>
      </c>
      <c r="D4" s="10" t="b">
        <v>1</v>
      </c>
      <c r="E4" s="9" t="b">
        <v>1</v>
      </c>
      <c r="F4" s="9" t="s">
        <v>52</v>
      </c>
      <c r="G4" s="12"/>
      <c r="H4" s="12"/>
      <c r="I4" s="12"/>
      <c r="J4" s="12"/>
      <c r="K4" s="12"/>
      <c r="L4" s="13" t="s">
        <v>36</v>
      </c>
      <c r="M4" s="13" t="s">
        <v>53</v>
      </c>
      <c r="N4" s="10" t="b">
        <v>1</v>
      </c>
      <c r="O4" s="33">
        <v>9.733492734E9</v>
      </c>
      <c r="P4" s="15" t="s">
        <v>54</v>
      </c>
      <c r="Q4" s="16" t="s">
        <v>55</v>
      </c>
      <c r="R4" s="16" t="s">
        <v>56</v>
      </c>
      <c r="S4" s="34" t="s">
        <v>57</v>
      </c>
      <c r="T4" s="35" t="s">
        <v>58</v>
      </c>
      <c r="U4" s="36"/>
      <c r="V4" s="36"/>
      <c r="W4" s="36"/>
      <c r="X4" s="36"/>
      <c r="Y4" s="36"/>
      <c r="Z4" s="36"/>
      <c r="AA4" s="36"/>
      <c r="AB4" s="36"/>
      <c r="AC4" s="36"/>
      <c r="AD4" s="36"/>
      <c r="AE4" s="36"/>
      <c r="AF4" s="36"/>
      <c r="AG4" s="36"/>
      <c r="AH4" s="37"/>
    </row>
    <row r="5">
      <c r="A5" s="38">
        <v>5.0</v>
      </c>
      <c r="B5" s="39" t="s">
        <v>59</v>
      </c>
      <c r="C5" s="40" t="s">
        <v>35</v>
      </c>
      <c r="D5" s="41" t="b">
        <v>1</v>
      </c>
      <c r="E5" s="40" t="b">
        <v>1</v>
      </c>
      <c r="F5" s="40"/>
      <c r="G5" s="42"/>
      <c r="H5" s="43"/>
      <c r="I5" s="43"/>
      <c r="J5" s="43"/>
      <c r="K5" s="43"/>
      <c r="L5" s="44" t="s">
        <v>60</v>
      </c>
      <c r="M5" s="44" t="s">
        <v>37</v>
      </c>
      <c r="N5" s="41" t="b">
        <v>0</v>
      </c>
      <c r="O5" s="45">
        <v>9.723751491E9</v>
      </c>
      <c r="P5" s="46" t="s">
        <v>61</v>
      </c>
      <c r="Q5" s="46" t="s">
        <v>62</v>
      </c>
      <c r="R5" s="46" t="s">
        <v>63</v>
      </c>
      <c r="S5" s="47" t="s">
        <v>64</v>
      </c>
      <c r="T5" s="48" t="s">
        <v>65</v>
      </c>
      <c r="U5" s="49"/>
      <c r="V5" s="49"/>
      <c r="W5" s="49"/>
      <c r="X5" s="49"/>
      <c r="Y5" s="49"/>
      <c r="Z5" s="49"/>
      <c r="AA5" s="49"/>
      <c r="AB5" s="49"/>
      <c r="AC5" s="49"/>
      <c r="AD5" s="49"/>
      <c r="AE5" s="49"/>
      <c r="AF5" s="49"/>
      <c r="AG5" s="49"/>
      <c r="AH5" s="50"/>
      <c r="AI5" s="51"/>
      <c r="AJ5" s="51"/>
      <c r="AK5" s="51"/>
      <c r="AL5" s="51"/>
    </row>
    <row r="6">
      <c r="A6" s="52">
        <v>6.0</v>
      </c>
      <c r="B6" s="53" t="s">
        <v>66</v>
      </c>
      <c r="C6" s="54" t="s">
        <v>35</v>
      </c>
      <c r="D6" s="55" t="b">
        <v>1</v>
      </c>
      <c r="E6" s="54" t="b">
        <v>1</v>
      </c>
      <c r="F6" s="54" t="s">
        <v>67</v>
      </c>
      <c r="G6" s="56"/>
      <c r="H6" s="56"/>
      <c r="I6" s="56"/>
      <c r="J6" s="56"/>
      <c r="K6" s="57" t="s">
        <v>45</v>
      </c>
      <c r="L6" s="57" t="s">
        <v>36</v>
      </c>
      <c r="M6" s="57" t="s">
        <v>37</v>
      </c>
      <c r="N6" s="55" t="b">
        <v>0</v>
      </c>
      <c r="O6" s="58">
        <v>2.152757119E9</v>
      </c>
      <c r="P6" s="59" t="s">
        <v>68</v>
      </c>
      <c r="Q6" s="59" t="s">
        <v>69</v>
      </c>
      <c r="R6" s="59" t="s">
        <v>70</v>
      </c>
      <c r="S6" s="60" t="s">
        <v>71</v>
      </c>
      <c r="T6" s="59" t="s">
        <v>72</v>
      </c>
      <c r="U6" s="61"/>
      <c r="V6" s="61"/>
      <c r="W6" s="61"/>
      <c r="X6" s="61"/>
      <c r="Y6" s="61"/>
      <c r="Z6" s="61"/>
      <c r="AA6" s="61"/>
      <c r="AB6" s="61"/>
      <c r="AC6" s="61"/>
      <c r="AD6" s="61"/>
      <c r="AE6" s="61"/>
      <c r="AF6" s="61"/>
      <c r="AG6" s="61"/>
      <c r="AH6" s="62"/>
      <c r="AI6" s="63"/>
      <c r="AJ6" s="63"/>
      <c r="AK6" s="63"/>
      <c r="AL6" s="63"/>
    </row>
    <row r="7">
      <c r="A7" s="64">
        <v>7.0</v>
      </c>
      <c r="B7" s="65" t="s">
        <v>73</v>
      </c>
      <c r="C7" s="21" t="s">
        <v>35</v>
      </c>
      <c r="D7" s="22" t="b">
        <v>1</v>
      </c>
      <c r="E7" s="21" t="b">
        <v>1</v>
      </c>
      <c r="F7" s="21" t="s">
        <v>74</v>
      </c>
      <c r="G7" s="23"/>
      <c r="H7" s="23"/>
      <c r="I7" s="24">
        <v>1.0</v>
      </c>
      <c r="J7" s="24">
        <v>1.0</v>
      </c>
      <c r="K7" s="24" t="s">
        <v>45</v>
      </c>
      <c r="L7" s="24" t="s">
        <v>60</v>
      </c>
      <c r="M7" s="24" t="s">
        <v>37</v>
      </c>
      <c r="N7" s="22" t="b">
        <v>0</v>
      </c>
      <c r="O7" s="25">
        <v>5.16680655E9</v>
      </c>
      <c r="P7" s="26" t="s">
        <v>75</v>
      </c>
      <c r="Q7" s="26" t="s">
        <v>76</v>
      </c>
      <c r="R7" s="26" t="s">
        <v>77</v>
      </c>
      <c r="S7" s="66" t="s">
        <v>78</v>
      </c>
      <c r="T7" s="28" t="s">
        <v>79</v>
      </c>
      <c r="U7" s="29"/>
      <c r="V7" s="29"/>
      <c r="W7" s="29"/>
      <c r="X7" s="29"/>
      <c r="Y7" s="29"/>
      <c r="Z7" s="29"/>
      <c r="AA7" s="29"/>
      <c r="AB7" s="29"/>
      <c r="AC7" s="29"/>
      <c r="AD7" s="29"/>
      <c r="AE7" s="29"/>
      <c r="AF7" s="29"/>
      <c r="AG7" s="29"/>
      <c r="AH7" s="30"/>
    </row>
    <row r="8">
      <c r="A8" s="7">
        <v>8.0</v>
      </c>
      <c r="B8" s="65" t="s">
        <v>80</v>
      </c>
      <c r="C8" s="9" t="s">
        <v>35</v>
      </c>
      <c r="D8" s="10" t="b">
        <v>1</v>
      </c>
      <c r="E8" s="9" t="b">
        <v>1</v>
      </c>
      <c r="F8" s="9" t="s">
        <v>81</v>
      </c>
      <c r="G8" s="12"/>
      <c r="H8" s="12"/>
      <c r="I8" s="12"/>
      <c r="J8" s="12"/>
      <c r="K8" s="12"/>
      <c r="L8" s="13" t="s">
        <v>60</v>
      </c>
      <c r="M8" s="13" t="s">
        <v>53</v>
      </c>
      <c r="N8" s="10" t="b">
        <v>1</v>
      </c>
      <c r="O8" s="14">
        <v>8.048367766E9</v>
      </c>
      <c r="P8" s="15" t="s">
        <v>82</v>
      </c>
      <c r="Q8" s="15" t="s">
        <v>83</v>
      </c>
      <c r="R8" s="15" t="s">
        <v>84</v>
      </c>
      <c r="S8" s="34" t="s">
        <v>85</v>
      </c>
      <c r="T8" s="67"/>
      <c r="U8" s="68"/>
      <c r="V8" s="68"/>
      <c r="W8" s="68"/>
      <c r="X8" s="68"/>
      <c r="Y8" s="68"/>
      <c r="Z8" s="68"/>
      <c r="AA8" s="68"/>
      <c r="AB8" s="68"/>
      <c r="AC8" s="68"/>
      <c r="AD8" s="68"/>
      <c r="AE8" s="68"/>
      <c r="AF8" s="68"/>
      <c r="AG8" s="68"/>
      <c r="AH8" s="69"/>
    </row>
    <row r="9">
      <c r="A9" s="19">
        <v>9.0</v>
      </c>
      <c r="B9" s="70" t="s">
        <v>86</v>
      </c>
      <c r="C9" s="21" t="s">
        <v>35</v>
      </c>
      <c r="D9" s="22" t="b">
        <v>1</v>
      </c>
      <c r="E9" s="21" t="b">
        <v>1</v>
      </c>
      <c r="F9" s="21" t="s">
        <v>87</v>
      </c>
      <c r="G9" s="23"/>
      <c r="H9" s="23"/>
      <c r="I9" s="23"/>
      <c r="J9" s="23"/>
      <c r="K9" s="24" t="s">
        <v>45</v>
      </c>
      <c r="L9" s="24" t="s">
        <v>60</v>
      </c>
      <c r="M9" s="24" t="s">
        <v>37</v>
      </c>
      <c r="N9" s="22" t="b">
        <v>0</v>
      </c>
      <c r="O9" s="25">
        <v>9.1720775E9</v>
      </c>
      <c r="P9" s="26" t="s">
        <v>88</v>
      </c>
      <c r="Q9" s="26" t="s">
        <v>89</v>
      </c>
      <c r="R9" s="26" t="s">
        <v>77</v>
      </c>
      <c r="S9" s="71" t="s">
        <v>90</v>
      </c>
      <c r="T9" s="72"/>
      <c r="U9" s="73"/>
      <c r="V9" s="73"/>
      <c r="W9" s="73"/>
      <c r="X9" s="73"/>
      <c r="Y9" s="73"/>
      <c r="Z9" s="73"/>
      <c r="AA9" s="73"/>
      <c r="AB9" s="73"/>
      <c r="AC9" s="73"/>
      <c r="AD9" s="73"/>
      <c r="AE9" s="73"/>
      <c r="AF9" s="73"/>
      <c r="AG9" s="73"/>
      <c r="AH9" s="74"/>
    </row>
    <row r="10">
      <c r="A10" s="75">
        <v>10.0</v>
      </c>
      <c r="B10" s="76" t="s">
        <v>91</v>
      </c>
      <c r="C10" s="9" t="s">
        <v>35</v>
      </c>
      <c r="D10" s="10" t="b">
        <v>1</v>
      </c>
      <c r="E10" s="9" t="b">
        <v>1</v>
      </c>
      <c r="F10" s="9" t="s">
        <v>92</v>
      </c>
      <c r="G10" s="13">
        <v>1.0</v>
      </c>
      <c r="H10" s="12"/>
      <c r="I10" s="12"/>
      <c r="J10" s="12"/>
      <c r="K10" s="12"/>
      <c r="L10" s="13" t="s">
        <v>36</v>
      </c>
      <c r="M10" s="13" t="s">
        <v>37</v>
      </c>
      <c r="N10" s="10" t="b">
        <v>0</v>
      </c>
      <c r="O10" s="14">
        <v>4.15250005E9</v>
      </c>
      <c r="P10" s="15" t="s">
        <v>93</v>
      </c>
      <c r="Q10" s="15" t="s">
        <v>94</v>
      </c>
      <c r="R10" s="15" t="s">
        <v>84</v>
      </c>
      <c r="S10" s="34" t="s">
        <v>95</v>
      </c>
      <c r="T10" s="15" t="s">
        <v>96</v>
      </c>
      <c r="U10" s="77"/>
      <c r="V10" s="77"/>
      <c r="W10" s="77"/>
      <c r="X10" s="77"/>
      <c r="Y10" s="77"/>
      <c r="Z10" s="77"/>
      <c r="AA10" s="77"/>
      <c r="AB10" s="77"/>
      <c r="AC10" s="77"/>
      <c r="AD10" s="77"/>
      <c r="AE10" s="77"/>
      <c r="AF10" s="77"/>
      <c r="AG10" s="77"/>
      <c r="AH10" s="78"/>
    </row>
    <row r="11">
      <c r="A11" s="19">
        <v>11.0</v>
      </c>
      <c r="B11" s="70" t="s">
        <v>97</v>
      </c>
      <c r="C11" s="21" t="s">
        <v>35</v>
      </c>
      <c r="D11" s="22" t="b">
        <v>1</v>
      </c>
      <c r="E11" s="21" t="b">
        <v>1</v>
      </c>
      <c r="F11" s="21" t="s">
        <v>98</v>
      </c>
      <c r="G11" s="23"/>
      <c r="H11" s="23"/>
      <c r="I11" s="24">
        <v>1.0</v>
      </c>
      <c r="J11" s="24">
        <v>2.0</v>
      </c>
      <c r="K11" s="23"/>
      <c r="L11" s="24" t="s">
        <v>60</v>
      </c>
      <c r="M11" s="24" t="s">
        <v>37</v>
      </c>
      <c r="N11" s="22" t="b">
        <v>0</v>
      </c>
      <c r="O11" s="25">
        <v>2.036278473E9</v>
      </c>
      <c r="P11" s="26" t="s">
        <v>99</v>
      </c>
      <c r="Q11" s="26"/>
      <c r="R11" s="26" t="s">
        <v>100</v>
      </c>
      <c r="S11" s="71"/>
      <c r="T11" s="72"/>
      <c r="U11" s="73"/>
      <c r="V11" s="73"/>
      <c r="W11" s="73"/>
      <c r="X11" s="73"/>
      <c r="Y11" s="73"/>
      <c r="Z11" s="73"/>
      <c r="AA11" s="73"/>
      <c r="AB11" s="73"/>
      <c r="AC11" s="73"/>
      <c r="AD11" s="73"/>
      <c r="AE11" s="73"/>
      <c r="AF11" s="73"/>
      <c r="AG11" s="73"/>
      <c r="AH11" s="74"/>
    </row>
    <row r="12">
      <c r="A12" s="7">
        <v>12.0</v>
      </c>
      <c r="B12" s="32" t="s">
        <v>101</v>
      </c>
      <c r="C12" s="9" t="s">
        <v>35</v>
      </c>
      <c r="D12" s="10" t="b">
        <v>0</v>
      </c>
      <c r="E12" s="9" t="b">
        <v>0</v>
      </c>
      <c r="F12" s="9" t="s">
        <v>102</v>
      </c>
      <c r="G12" s="12"/>
      <c r="H12" s="12"/>
      <c r="I12" s="12"/>
      <c r="J12" s="12"/>
      <c r="K12" s="12"/>
      <c r="L12" s="13" t="s">
        <v>36</v>
      </c>
      <c r="M12" s="13" t="s">
        <v>53</v>
      </c>
      <c r="N12" s="10" t="b">
        <v>1</v>
      </c>
      <c r="O12" s="33">
        <v>6.179092103E9</v>
      </c>
      <c r="P12" s="15" t="s">
        <v>103</v>
      </c>
      <c r="Q12" s="16" t="s">
        <v>104</v>
      </c>
      <c r="R12" s="16" t="s">
        <v>105</v>
      </c>
      <c r="S12" s="34" t="s">
        <v>85</v>
      </c>
      <c r="T12" s="15" t="s">
        <v>106</v>
      </c>
      <c r="U12" s="77"/>
      <c r="V12" s="77"/>
      <c r="W12" s="77"/>
      <c r="X12" s="77"/>
      <c r="Y12" s="77"/>
      <c r="Z12" s="77"/>
      <c r="AA12" s="77"/>
      <c r="AB12" s="77"/>
      <c r="AC12" s="77"/>
      <c r="AD12" s="77"/>
      <c r="AE12" s="77"/>
      <c r="AF12" s="77"/>
      <c r="AG12" s="77"/>
      <c r="AH12" s="78"/>
    </row>
    <row r="13">
      <c r="A13" s="19">
        <v>13.0</v>
      </c>
      <c r="B13" s="65" t="s">
        <v>107</v>
      </c>
      <c r="C13" s="21" t="s">
        <v>35</v>
      </c>
      <c r="D13" s="22" t="b">
        <v>1</v>
      </c>
      <c r="E13" s="21" t="b">
        <v>0</v>
      </c>
      <c r="F13" s="21"/>
      <c r="G13" s="23"/>
      <c r="H13" s="24">
        <v>1.0</v>
      </c>
      <c r="I13" s="23"/>
      <c r="J13" s="23"/>
      <c r="K13" s="23"/>
      <c r="L13" s="24" t="s">
        <v>60</v>
      </c>
      <c r="M13" s="24" t="s">
        <v>37</v>
      </c>
      <c r="N13" s="22" t="b">
        <v>0</v>
      </c>
      <c r="O13" s="25">
        <v>6.464944658E9</v>
      </c>
      <c r="P13" s="26" t="s">
        <v>108</v>
      </c>
      <c r="Q13" s="72"/>
      <c r="R13" s="26" t="s">
        <v>109</v>
      </c>
      <c r="S13" s="79"/>
      <c r="T13" s="26" t="s">
        <v>110</v>
      </c>
      <c r="U13" s="80"/>
      <c r="V13" s="80"/>
      <c r="W13" s="80"/>
      <c r="X13" s="80"/>
      <c r="Y13" s="80"/>
      <c r="Z13" s="80"/>
      <c r="AA13" s="80"/>
      <c r="AB13" s="80"/>
      <c r="AC13" s="80"/>
      <c r="AD13" s="80"/>
      <c r="AE13" s="80"/>
      <c r="AF13" s="80"/>
      <c r="AG13" s="80"/>
      <c r="AH13" s="81"/>
    </row>
    <row r="14">
      <c r="A14" s="7">
        <v>14.0</v>
      </c>
      <c r="B14" s="15" t="s">
        <v>111</v>
      </c>
      <c r="C14" s="9" t="s">
        <v>35</v>
      </c>
      <c r="D14" s="10" t="b">
        <v>1</v>
      </c>
      <c r="E14" s="9" t="b">
        <v>0</v>
      </c>
      <c r="F14" s="9"/>
      <c r="G14" s="12"/>
      <c r="H14" s="12"/>
      <c r="I14" s="13">
        <v>1.0</v>
      </c>
      <c r="J14" s="12"/>
      <c r="K14" s="12"/>
      <c r="L14" s="13" t="s">
        <v>60</v>
      </c>
      <c r="M14" s="13" t="s">
        <v>37</v>
      </c>
      <c r="N14" s="10" t="b">
        <v>0</v>
      </c>
      <c r="O14" s="14">
        <v>6.464180875E9</v>
      </c>
      <c r="P14" s="15" t="s">
        <v>112</v>
      </c>
      <c r="Q14" s="15" t="s">
        <v>76</v>
      </c>
      <c r="R14" s="15" t="s">
        <v>77</v>
      </c>
      <c r="S14" s="82"/>
      <c r="T14" s="67"/>
      <c r="U14" s="68"/>
      <c r="V14" s="68"/>
      <c r="W14" s="68"/>
      <c r="X14" s="68"/>
      <c r="Y14" s="68"/>
      <c r="Z14" s="68"/>
      <c r="AA14" s="68"/>
      <c r="AB14" s="68"/>
      <c r="AC14" s="68"/>
      <c r="AD14" s="68"/>
      <c r="AE14" s="68"/>
      <c r="AF14" s="68"/>
      <c r="AG14" s="68"/>
      <c r="AH14" s="69"/>
    </row>
    <row r="15">
      <c r="A15" s="83">
        <v>15.0</v>
      </c>
      <c r="B15" s="84" t="s">
        <v>113</v>
      </c>
      <c r="C15" s="21" t="s">
        <v>35</v>
      </c>
      <c r="D15" s="22" t="b">
        <v>1</v>
      </c>
      <c r="E15" s="21"/>
      <c r="F15" s="21"/>
      <c r="G15" s="23"/>
      <c r="H15" s="23"/>
      <c r="I15" s="23"/>
      <c r="J15" s="23"/>
      <c r="K15" s="23"/>
      <c r="L15" s="24" t="s">
        <v>36</v>
      </c>
      <c r="M15" s="24" t="s">
        <v>37</v>
      </c>
      <c r="N15" s="22" t="b">
        <v>0</v>
      </c>
      <c r="O15" s="25">
        <v>1.4692229328E10</v>
      </c>
      <c r="P15" s="26" t="s">
        <v>114</v>
      </c>
      <c r="Q15" s="26" t="s">
        <v>115</v>
      </c>
      <c r="R15" s="26" t="s">
        <v>63</v>
      </c>
      <c r="S15" s="79"/>
      <c r="T15" s="85"/>
      <c r="U15" s="73"/>
      <c r="V15" s="73"/>
      <c r="W15" s="73"/>
      <c r="X15" s="73"/>
      <c r="Y15" s="73"/>
      <c r="Z15" s="73"/>
      <c r="AA15" s="73"/>
      <c r="AB15" s="73"/>
      <c r="AC15" s="73"/>
      <c r="AD15" s="73"/>
      <c r="AE15" s="73"/>
      <c r="AF15" s="73"/>
      <c r="AG15" s="73"/>
      <c r="AH15" s="74"/>
    </row>
    <row r="16">
      <c r="A16" s="7">
        <v>16.0</v>
      </c>
      <c r="B16" s="8" t="s">
        <v>116</v>
      </c>
      <c r="C16" s="9" t="s">
        <v>35</v>
      </c>
      <c r="D16" s="10" t="b">
        <v>0</v>
      </c>
      <c r="E16" s="9" t="b">
        <v>1</v>
      </c>
      <c r="F16" s="9"/>
      <c r="G16" s="12"/>
      <c r="H16" s="12"/>
      <c r="I16" s="12"/>
      <c r="J16" s="12"/>
      <c r="K16" s="12"/>
      <c r="L16" s="13" t="s">
        <v>36</v>
      </c>
      <c r="M16" s="13" t="s">
        <v>53</v>
      </c>
      <c r="N16" s="10" t="b">
        <v>1</v>
      </c>
      <c r="O16" s="14">
        <v>8.47714304E9</v>
      </c>
      <c r="P16" s="15" t="s">
        <v>117</v>
      </c>
      <c r="Q16" s="15" t="s">
        <v>118</v>
      </c>
      <c r="R16" s="15" t="s">
        <v>48</v>
      </c>
      <c r="S16" s="34" t="s">
        <v>119</v>
      </c>
      <c r="T16" s="15" t="s">
        <v>120</v>
      </c>
      <c r="U16" s="77"/>
      <c r="V16" s="77"/>
      <c r="W16" s="77"/>
      <c r="X16" s="77"/>
      <c r="Y16" s="77"/>
      <c r="Z16" s="77"/>
      <c r="AA16" s="77"/>
      <c r="AB16" s="77"/>
      <c r="AC16" s="77"/>
      <c r="AD16" s="77"/>
      <c r="AE16" s="77"/>
      <c r="AF16" s="77"/>
      <c r="AG16" s="77"/>
      <c r="AH16" s="78"/>
    </row>
    <row r="17">
      <c r="A17" s="64">
        <v>17.0</v>
      </c>
      <c r="B17" s="65" t="s">
        <v>121</v>
      </c>
      <c r="C17" s="21" t="s">
        <v>35</v>
      </c>
      <c r="D17" s="22" t="b">
        <v>1</v>
      </c>
      <c r="E17" s="21" t="b">
        <v>0</v>
      </c>
      <c r="F17" s="21"/>
      <c r="G17" s="23"/>
      <c r="H17" s="23"/>
      <c r="I17" s="24">
        <v>1.0</v>
      </c>
      <c r="J17" s="23"/>
      <c r="K17" s="24" t="s">
        <v>45</v>
      </c>
      <c r="L17" s="24" t="s">
        <v>60</v>
      </c>
      <c r="M17" s="24" t="s">
        <v>37</v>
      </c>
      <c r="N17" s="22" t="b">
        <v>0</v>
      </c>
      <c r="O17" s="25">
        <v>6.785965293E9</v>
      </c>
      <c r="P17" s="26" t="s">
        <v>122</v>
      </c>
      <c r="Q17" s="26" t="s">
        <v>123</v>
      </c>
      <c r="R17" s="26" t="s">
        <v>124</v>
      </c>
      <c r="S17" s="66" t="s">
        <v>125</v>
      </c>
      <c r="T17" s="86" t="s">
        <v>126</v>
      </c>
      <c r="U17" s="87"/>
      <c r="V17" s="87"/>
      <c r="W17" s="87"/>
      <c r="X17" s="87"/>
      <c r="Y17" s="87"/>
      <c r="Z17" s="87"/>
      <c r="AA17" s="87"/>
      <c r="AB17" s="87"/>
      <c r="AC17" s="87"/>
      <c r="AD17" s="87"/>
      <c r="AE17" s="87"/>
      <c r="AF17" s="87"/>
      <c r="AG17" s="87"/>
      <c r="AH17" s="88"/>
    </row>
    <row r="18">
      <c r="A18" s="7">
        <v>18.0</v>
      </c>
      <c r="B18" s="65" t="s">
        <v>127</v>
      </c>
      <c r="C18" s="9" t="s">
        <v>35</v>
      </c>
      <c r="D18" s="10" t="b">
        <v>1</v>
      </c>
      <c r="E18" s="9" t="b">
        <v>0</v>
      </c>
      <c r="F18" s="9"/>
      <c r="G18" s="12"/>
      <c r="H18" s="12"/>
      <c r="I18" s="12"/>
      <c r="J18" s="12"/>
      <c r="K18" s="12"/>
      <c r="L18" s="13" t="s">
        <v>60</v>
      </c>
      <c r="M18" s="13" t="s">
        <v>37</v>
      </c>
      <c r="N18" s="10" t="b">
        <v>0</v>
      </c>
      <c r="O18" s="14">
        <v>9.143291484E9</v>
      </c>
      <c r="P18" s="15" t="s">
        <v>128</v>
      </c>
      <c r="Q18" s="15" t="s">
        <v>129</v>
      </c>
      <c r="R18" s="15" t="s">
        <v>40</v>
      </c>
      <c r="S18" s="89" t="s">
        <v>130</v>
      </c>
      <c r="T18" s="90" t="s">
        <v>131</v>
      </c>
      <c r="U18" s="91"/>
      <c r="V18" s="91"/>
      <c r="W18" s="91"/>
      <c r="X18" s="91"/>
      <c r="Y18" s="91"/>
      <c r="Z18" s="91"/>
      <c r="AA18" s="91"/>
      <c r="AB18" s="91"/>
      <c r="AC18" s="91"/>
      <c r="AD18" s="91"/>
      <c r="AE18" s="91"/>
      <c r="AF18" s="91"/>
      <c r="AG18" s="91"/>
      <c r="AH18" s="92"/>
    </row>
    <row r="19">
      <c r="A19" s="64">
        <v>19.0</v>
      </c>
      <c r="B19" s="93" t="s">
        <v>132</v>
      </c>
      <c r="C19" s="21" t="s">
        <v>35</v>
      </c>
      <c r="D19" s="22" t="b">
        <v>1</v>
      </c>
      <c r="E19" s="21" t="b">
        <v>0</v>
      </c>
      <c r="F19" s="21"/>
      <c r="G19" s="23"/>
      <c r="H19" s="23"/>
      <c r="I19" s="23"/>
      <c r="J19" s="23"/>
      <c r="K19" s="23"/>
      <c r="L19" s="24" t="s">
        <v>60</v>
      </c>
      <c r="M19" s="24" t="s">
        <v>37</v>
      </c>
      <c r="N19" s="22" t="b">
        <v>0</v>
      </c>
      <c r="O19" s="94">
        <v>4.04935276E9</v>
      </c>
      <c r="P19" s="26" t="s">
        <v>133</v>
      </c>
      <c r="Q19" s="26" t="s">
        <v>134</v>
      </c>
      <c r="R19" s="26" t="s">
        <v>124</v>
      </c>
      <c r="S19" s="34" t="s">
        <v>135</v>
      </c>
      <c r="T19" s="95" t="s">
        <v>136</v>
      </c>
      <c r="U19" s="80"/>
      <c r="V19" s="80"/>
      <c r="W19" s="80"/>
      <c r="X19" s="80"/>
      <c r="Y19" s="80"/>
      <c r="Z19" s="80"/>
      <c r="AA19" s="80"/>
      <c r="AB19" s="80"/>
      <c r="AC19" s="80"/>
      <c r="AD19" s="80"/>
      <c r="AE19" s="80"/>
      <c r="AF19" s="80"/>
      <c r="AG19" s="80"/>
      <c r="AH19" s="81"/>
    </row>
    <row r="20">
      <c r="A20" s="75">
        <v>20.0</v>
      </c>
      <c r="B20" s="84" t="s">
        <v>137</v>
      </c>
      <c r="C20" s="9" t="s">
        <v>35</v>
      </c>
      <c r="D20" s="10" t="b">
        <v>1</v>
      </c>
      <c r="E20" s="9" t="b">
        <v>0</v>
      </c>
      <c r="F20" s="9"/>
      <c r="G20" s="12"/>
      <c r="H20" s="12"/>
      <c r="I20" s="12"/>
      <c r="J20" s="12"/>
      <c r="K20" s="12"/>
      <c r="L20" s="13" t="s">
        <v>36</v>
      </c>
      <c r="M20" s="13" t="s">
        <v>53</v>
      </c>
      <c r="N20" s="10" t="b">
        <v>1</v>
      </c>
      <c r="O20" s="14">
        <v>6.149156173E9</v>
      </c>
      <c r="P20" s="15" t="s">
        <v>138</v>
      </c>
      <c r="Q20" s="15" t="s">
        <v>139</v>
      </c>
      <c r="R20" s="15" t="s">
        <v>109</v>
      </c>
      <c r="S20" s="16" t="s">
        <v>140</v>
      </c>
      <c r="T20" s="90" t="s">
        <v>141</v>
      </c>
      <c r="U20" s="91"/>
      <c r="V20" s="91"/>
      <c r="W20" s="91"/>
      <c r="X20" s="91"/>
      <c r="Y20" s="91"/>
      <c r="Z20" s="91"/>
      <c r="AA20" s="91"/>
      <c r="AB20" s="91"/>
      <c r="AC20" s="91"/>
      <c r="AD20" s="91"/>
      <c r="AE20" s="91"/>
      <c r="AF20" s="91"/>
      <c r="AG20" s="91"/>
      <c r="AH20" s="92"/>
    </row>
    <row r="21">
      <c r="A21" s="19">
        <v>21.0</v>
      </c>
      <c r="B21" s="65" t="s">
        <v>142</v>
      </c>
      <c r="C21" s="21" t="s">
        <v>35</v>
      </c>
      <c r="D21" s="22" t="b">
        <v>1</v>
      </c>
      <c r="E21" s="21" t="b">
        <v>0</v>
      </c>
      <c r="F21" s="21"/>
      <c r="G21" s="24">
        <v>2.0</v>
      </c>
      <c r="H21" s="24" t="s">
        <v>143</v>
      </c>
      <c r="I21" s="24">
        <v>4.0</v>
      </c>
      <c r="J21" s="24" t="s">
        <v>143</v>
      </c>
      <c r="K21" s="24" t="s">
        <v>144</v>
      </c>
      <c r="L21" s="24" t="s">
        <v>60</v>
      </c>
      <c r="M21" s="24" t="s">
        <v>37</v>
      </c>
      <c r="N21" s="22" t="b">
        <v>0</v>
      </c>
      <c r="O21" s="25">
        <v>2.142230055E9</v>
      </c>
      <c r="P21" s="26" t="s">
        <v>145</v>
      </c>
      <c r="Q21" s="26" t="s">
        <v>62</v>
      </c>
      <c r="R21" s="26" t="s">
        <v>63</v>
      </c>
      <c r="S21" s="71" t="s">
        <v>146</v>
      </c>
      <c r="T21" s="26" t="s">
        <v>147</v>
      </c>
      <c r="U21" s="80"/>
      <c r="V21" s="80"/>
      <c r="W21" s="80"/>
      <c r="X21" s="80"/>
      <c r="Y21" s="80"/>
      <c r="Z21" s="80"/>
      <c r="AA21" s="80"/>
      <c r="AB21" s="80"/>
      <c r="AC21" s="80"/>
      <c r="AD21" s="80"/>
      <c r="AE21" s="80"/>
      <c r="AF21" s="80"/>
      <c r="AG21" s="80"/>
      <c r="AH21" s="81"/>
    </row>
    <row r="22">
      <c r="A22" s="31">
        <v>22.0</v>
      </c>
      <c r="B22" s="15" t="s">
        <v>148</v>
      </c>
      <c r="C22" s="9" t="s">
        <v>35</v>
      </c>
      <c r="D22" s="10" t="b">
        <v>1</v>
      </c>
      <c r="E22" s="9" t="b">
        <v>0</v>
      </c>
      <c r="F22" s="9"/>
      <c r="G22" s="12"/>
      <c r="H22" s="12"/>
      <c r="I22" s="12"/>
      <c r="J22" s="12"/>
      <c r="K22" s="12"/>
      <c r="L22" s="13" t="s">
        <v>60</v>
      </c>
      <c r="M22" s="13" t="s">
        <v>37</v>
      </c>
      <c r="N22" s="10" t="b">
        <v>0</v>
      </c>
      <c r="O22" s="14">
        <v>1.9738652446E10</v>
      </c>
      <c r="P22" s="15" t="s">
        <v>149</v>
      </c>
      <c r="Q22" s="15" t="s">
        <v>150</v>
      </c>
      <c r="R22" s="15" t="s">
        <v>56</v>
      </c>
      <c r="S22" s="34" t="s">
        <v>151</v>
      </c>
      <c r="T22" s="15" t="s">
        <v>152</v>
      </c>
      <c r="U22" s="77"/>
      <c r="V22" s="77"/>
      <c r="W22" s="77"/>
      <c r="X22" s="77"/>
      <c r="Y22" s="77"/>
      <c r="Z22" s="77"/>
      <c r="AA22" s="77"/>
      <c r="AB22" s="77"/>
      <c r="AC22" s="77"/>
      <c r="AD22" s="77"/>
      <c r="AE22" s="77"/>
      <c r="AF22" s="77"/>
      <c r="AG22" s="77"/>
      <c r="AH22" s="78"/>
    </row>
    <row r="23">
      <c r="A23" s="19">
        <v>23.0</v>
      </c>
      <c r="B23" s="96" t="s">
        <v>153</v>
      </c>
      <c r="C23" s="21" t="s">
        <v>35</v>
      </c>
      <c r="D23" s="22" t="b">
        <v>0</v>
      </c>
      <c r="E23" s="21" t="b">
        <v>0</v>
      </c>
      <c r="F23" s="21"/>
      <c r="G23" s="23"/>
      <c r="H23" s="23"/>
      <c r="I23" s="23"/>
      <c r="J23" s="23"/>
      <c r="K23" s="23"/>
      <c r="L23" s="24" t="s">
        <v>36</v>
      </c>
      <c r="M23" s="24" t="s">
        <v>37</v>
      </c>
      <c r="N23" s="22" t="b">
        <v>0</v>
      </c>
      <c r="O23" s="25">
        <v>1.201532475E10</v>
      </c>
      <c r="P23" s="26" t="s">
        <v>154</v>
      </c>
      <c r="Q23" s="26" t="s">
        <v>150</v>
      </c>
      <c r="R23" s="26" t="s">
        <v>56</v>
      </c>
      <c r="S23" s="79"/>
      <c r="T23" s="72"/>
      <c r="U23" s="73"/>
      <c r="V23" s="73"/>
      <c r="W23" s="73"/>
      <c r="X23" s="73"/>
      <c r="Y23" s="73"/>
      <c r="Z23" s="73"/>
      <c r="AA23" s="73"/>
      <c r="AB23" s="73"/>
      <c r="AC23" s="73"/>
      <c r="AD23" s="73"/>
      <c r="AE23" s="73"/>
      <c r="AF23" s="73"/>
      <c r="AG23" s="73"/>
      <c r="AH23" s="74"/>
    </row>
    <row r="24">
      <c r="A24" s="31">
        <v>24.0</v>
      </c>
      <c r="B24" s="9" t="s">
        <v>155</v>
      </c>
      <c r="C24" s="9" t="s">
        <v>35</v>
      </c>
      <c r="D24" s="10" t="b">
        <v>0</v>
      </c>
      <c r="E24" s="9" t="b">
        <v>0</v>
      </c>
      <c r="F24" s="9"/>
      <c r="G24" s="12"/>
      <c r="H24" s="12"/>
      <c r="I24" s="12"/>
      <c r="J24" s="12"/>
      <c r="K24" s="12"/>
      <c r="L24" s="13" t="s">
        <v>60</v>
      </c>
      <c r="M24" s="13" t="s">
        <v>53</v>
      </c>
      <c r="N24" s="10" t="b">
        <v>1</v>
      </c>
      <c r="O24" s="14"/>
      <c r="P24" s="15" t="s">
        <v>156</v>
      </c>
      <c r="Q24" s="15"/>
      <c r="R24" s="15" t="s">
        <v>77</v>
      </c>
      <c r="S24" s="89"/>
      <c r="T24" s="16"/>
      <c r="U24" s="17"/>
      <c r="V24" s="17"/>
      <c r="W24" s="17"/>
      <c r="X24" s="17"/>
      <c r="Y24" s="17"/>
      <c r="Z24" s="17"/>
      <c r="AA24" s="17"/>
      <c r="AB24" s="17"/>
      <c r="AC24" s="17"/>
      <c r="AD24" s="17"/>
      <c r="AE24" s="17"/>
      <c r="AF24" s="17"/>
      <c r="AG24" s="17"/>
      <c r="AH24" s="18"/>
    </row>
    <row r="25">
      <c r="A25" s="83">
        <v>25.0</v>
      </c>
      <c r="B25" s="97" t="s">
        <v>157</v>
      </c>
      <c r="C25" s="21" t="s">
        <v>35</v>
      </c>
      <c r="D25" s="22" t="b">
        <v>0</v>
      </c>
      <c r="E25" s="21" t="b">
        <v>0</v>
      </c>
      <c r="F25" s="21"/>
      <c r="G25" s="23"/>
      <c r="H25" s="23"/>
      <c r="I25" s="23"/>
      <c r="J25" s="23"/>
      <c r="K25" s="23"/>
      <c r="L25" s="24" t="s">
        <v>36</v>
      </c>
      <c r="M25" s="24" t="s">
        <v>37</v>
      </c>
      <c r="N25" s="22" t="b">
        <v>0</v>
      </c>
      <c r="O25" s="94">
        <v>7.032829087E9</v>
      </c>
      <c r="P25" s="26" t="s">
        <v>158</v>
      </c>
      <c r="Q25" s="86" t="s">
        <v>159</v>
      </c>
      <c r="R25" s="86" t="s">
        <v>84</v>
      </c>
      <c r="S25" s="79"/>
      <c r="T25" s="26" t="s">
        <v>160</v>
      </c>
      <c r="U25" s="80"/>
      <c r="V25" s="80"/>
      <c r="W25" s="80"/>
      <c r="X25" s="80"/>
      <c r="Y25" s="80"/>
      <c r="Z25" s="80"/>
      <c r="AA25" s="80"/>
      <c r="AB25" s="80"/>
      <c r="AC25" s="80"/>
      <c r="AD25" s="80"/>
      <c r="AE25" s="80"/>
      <c r="AF25" s="80"/>
      <c r="AG25" s="80"/>
      <c r="AH25" s="81"/>
    </row>
    <row r="26">
      <c r="A26" s="7">
        <v>26.0</v>
      </c>
      <c r="B26" s="65" t="s">
        <v>161</v>
      </c>
      <c r="C26" s="9" t="s">
        <v>162</v>
      </c>
      <c r="D26" s="10" t="b">
        <v>1</v>
      </c>
      <c r="E26" s="9" t="b">
        <v>0</v>
      </c>
      <c r="F26" s="9"/>
      <c r="G26" s="12"/>
      <c r="H26" s="12"/>
      <c r="I26" s="12"/>
      <c r="J26" s="12"/>
      <c r="K26" s="12"/>
      <c r="L26" s="13" t="s">
        <v>60</v>
      </c>
      <c r="M26" s="13" t="s">
        <v>37</v>
      </c>
      <c r="N26" s="10" t="b">
        <v>0</v>
      </c>
      <c r="O26" s="14">
        <v>4.04357093E9</v>
      </c>
      <c r="P26" s="15" t="s">
        <v>163</v>
      </c>
      <c r="Q26" s="15" t="s">
        <v>83</v>
      </c>
      <c r="R26" s="15" t="s">
        <v>84</v>
      </c>
      <c r="S26" s="89" t="s">
        <v>164</v>
      </c>
      <c r="T26" s="16" t="s">
        <v>165</v>
      </c>
      <c r="U26" s="17"/>
      <c r="V26" s="17"/>
      <c r="W26" s="17"/>
      <c r="X26" s="17"/>
      <c r="Y26" s="17"/>
      <c r="Z26" s="17"/>
      <c r="AA26" s="17"/>
      <c r="AB26" s="17"/>
      <c r="AC26" s="17"/>
      <c r="AD26" s="17"/>
      <c r="AE26" s="17"/>
      <c r="AF26" s="17"/>
      <c r="AG26" s="17"/>
      <c r="AH26" s="18"/>
    </row>
    <row r="27">
      <c r="A27" s="64">
        <v>27.0</v>
      </c>
      <c r="B27" s="65" t="s">
        <v>166</v>
      </c>
      <c r="C27" s="21" t="s">
        <v>162</v>
      </c>
      <c r="D27" s="22" t="b">
        <v>1</v>
      </c>
      <c r="E27" s="21" t="b">
        <v>0</v>
      </c>
      <c r="F27" s="21"/>
      <c r="G27" s="23"/>
      <c r="H27" s="23"/>
      <c r="I27" s="23"/>
      <c r="J27" s="23"/>
      <c r="K27" s="24" t="s">
        <v>45</v>
      </c>
      <c r="L27" s="24" t="s">
        <v>60</v>
      </c>
      <c r="M27" s="24" t="s">
        <v>37</v>
      </c>
      <c r="N27" s="22" t="b">
        <v>0</v>
      </c>
      <c r="O27" s="25">
        <v>4.0422921E9</v>
      </c>
      <c r="P27" s="26" t="s">
        <v>167</v>
      </c>
      <c r="Q27" s="26" t="s">
        <v>168</v>
      </c>
      <c r="R27" s="26" t="s">
        <v>124</v>
      </c>
      <c r="S27" s="71" t="s">
        <v>169</v>
      </c>
      <c r="T27" s="26" t="s">
        <v>170</v>
      </c>
      <c r="U27" s="80"/>
      <c r="V27" s="80"/>
      <c r="W27" s="80"/>
      <c r="X27" s="80"/>
      <c r="Y27" s="80"/>
      <c r="Z27" s="80"/>
      <c r="AA27" s="80"/>
      <c r="AB27" s="80"/>
      <c r="AC27" s="80"/>
      <c r="AD27" s="80"/>
      <c r="AE27" s="80"/>
      <c r="AF27" s="80"/>
      <c r="AG27" s="80"/>
      <c r="AH27" s="81"/>
    </row>
    <row r="28">
      <c r="A28" s="7">
        <v>28.0</v>
      </c>
      <c r="B28" s="98" t="s">
        <v>171</v>
      </c>
      <c r="C28" s="9" t="s">
        <v>162</v>
      </c>
      <c r="D28" s="10" t="b">
        <v>0</v>
      </c>
      <c r="E28" s="9" t="b">
        <v>0</v>
      </c>
      <c r="F28" s="9"/>
      <c r="G28" s="13">
        <v>1.0</v>
      </c>
      <c r="H28" s="13">
        <v>3.0</v>
      </c>
      <c r="I28" s="13">
        <v>4.0</v>
      </c>
      <c r="J28" s="13">
        <v>4.0</v>
      </c>
      <c r="K28" s="13" t="s">
        <v>172</v>
      </c>
      <c r="L28" s="13" t="s">
        <v>60</v>
      </c>
      <c r="M28" s="13" t="s">
        <v>53</v>
      </c>
      <c r="N28" s="10" t="b">
        <v>1</v>
      </c>
      <c r="O28" s="33">
        <v>5.165546319E9</v>
      </c>
      <c r="P28" s="15" t="s">
        <v>173</v>
      </c>
      <c r="Q28" s="16" t="s">
        <v>174</v>
      </c>
      <c r="R28" s="16" t="s">
        <v>77</v>
      </c>
      <c r="S28" s="34" t="s">
        <v>175</v>
      </c>
      <c r="T28" s="15" t="s">
        <v>176</v>
      </c>
      <c r="U28" s="77"/>
      <c r="V28" s="77"/>
      <c r="W28" s="77"/>
      <c r="X28" s="77"/>
      <c r="Y28" s="77"/>
      <c r="Z28" s="77"/>
      <c r="AA28" s="77"/>
      <c r="AB28" s="77"/>
      <c r="AC28" s="77"/>
      <c r="AD28" s="77"/>
      <c r="AE28" s="77"/>
      <c r="AF28" s="77"/>
      <c r="AG28" s="77"/>
      <c r="AH28" s="78"/>
    </row>
    <row r="29">
      <c r="A29" s="83">
        <v>30.0</v>
      </c>
      <c r="B29" s="99" t="s">
        <v>177</v>
      </c>
      <c r="C29" s="21" t="s">
        <v>162</v>
      </c>
      <c r="D29" s="22" t="b">
        <v>0</v>
      </c>
      <c r="E29" s="21" t="b">
        <v>0</v>
      </c>
      <c r="F29" s="21"/>
      <c r="G29" s="23"/>
      <c r="H29" s="23"/>
      <c r="I29" s="23"/>
      <c r="J29" s="23"/>
      <c r="K29" s="23"/>
      <c r="L29" s="24" t="s">
        <v>36</v>
      </c>
      <c r="M29" s="24" t="s">
        <v>37</v>
      </c>
      <c r="N29" s="22" t="b">
        <v>0</v>
      </c>
      <c r="O29" s="25">
        <v>1.2036272737E10</v>
      </c>
      <c r="P29" s="26" t="s">
        <v>178</v>
      </c>
      <c r="Q29" s="26" t="s">
        <v>179</v>
      </c>
      <c r="R29" s="26" t="s">
        <v>100</v>
      </c>
      <c r="S29" s="79"/>
      <c r="T29" s="72"/>
      <c r="U29" s="73"/>
      <c r="V29" s="73"/>
      <c r="W29" s="73"/>
      <c r="X29" s="73"/>
      <c r="Y29" s="73"/>
      <c r="Z29" s="73"/>
      <c r="AA29" s="73"/>
      <c r="AB29" s="73"/>
      <c r="AC29" s="73"/>
      <c r="AD29" s="73"/>
      <c r="AE29" s="73"/>
      <c r="AF29" s="73"/>
      <c r="AG29" s="73"/>
      <c r="AH29" s="74"/>
    </row>
    <row r="30">
      <c r="A30" s="7">
        <v>31.0</v>
      </c>
      <c r="B30" s="65" t="s">
        <v>180</v>
      </c>
      <c r="C30" s="9" t="s">
        <v>162</v>
      </c>
      <c r="D30" s="10" t="b">
        <v>0</v>
      </c>
      <c r="E30" s="9" t="b">
        <v>0</v>
      </c>
      <c r="F30" s="9"/>
      <c r="G30" s="12"/>
      <c r="H30" s="12"/>
      <c r="I30" s="12"/>
      <c r="J30" s="12"/>
      <c r="K30" s="12"/>
      <c r="L30" s="13" t="s">
        <v>60</v>
      </c>
      <c r="M30" s="13" t="s">
        <v>37</v>
      </c>
      <c r="N30" s="10" t="b">
        <v>0</v>
      </c>
      <c r="O30" s="14">
        <v>8.044189075E9</v>
      </c>
      <c r="P30" s="15" t="s">
        <v>181</v>
      </c>
      <c r="Q30" s="15" t="s">
        <v>83</v>
      </c>
      <c r="R30" s="15" t="s">
        <v>84</v>
      </c>
      <c r="S30" s="89" t="s">
        <v>182</v>
      </c>
      <c r="T30" s="90" t="s">
        <v>183</v>
      </c>
      <c r="U30" s="91"/>
      <c r="V30" s="91"/>
      <c r="W30" s="91"/>
      <c r="X30" s="91"/>
      <c r="Y30" s="91"/>
      <c r="Z30" s="91"/>
      <c r="AA30" s="91"/>
      <c r="AB30" s="91"/>
      <c r="AC30" s="91"/>
      <c r="AD30" s="91"/>
      <c r="AE30" s="91"/>
      <c r="AF30" s="91"/>
      <c r="AG30" s="91"/>
      <c r="AH30" s="92"/>
    </row>
    <row r="31">
      <c r="A31" s="64">
        <v>32.0</v>
      </c>
      <c r="B31" s="96" t="s">
        <v>184</v>
      </c>
      <c r="C31" s="21" t="s">
        <v>185</v>
      </c>
      <c r="D31" s="22" t="b">
        <v>0</v>
      </c>
      <c r="E31" s="21" t="b">
        <v>0</v>
      </c>
      <c r="F31" s="21"/>
      <c r="G31" s="23"/>
      <c r="H31" s="23"/>
      <c r="I31" s="23"/>
      <c r="J31" s="23"/>
      <c r="K31" s="23"/>
      <c r="L31" s="24" t="s">
        <v>36</v>
      </c>
      <c r="M31" s="24" t="s">
        <v>53</v>
      </c>
      <c r="N31" s="22" t="b">
        <v>1</v>
      </c>
      <c r="O31" s="25">
        <v>1.6145704014E10</v>
      </c>
      <c r="P31" s="26" t="s">
        <v>186</v>
      </c>
      <c r="Q31" s="26" t="s">
        <v>139</v>
      </c>
      <c r="R31" s="26" t="s">
        <v>109</v>
      </c>
      <c r="S31" s="71" t="s">
        <v>187</v>
      </c>
      <c r="T31" s="72"/>
      <c r="U31" s="73"/>
      <c r="V31" s="73"/>
      <c r="W31" s="73"/>
      <c r="X31" s="73"/>
      <c r="Y31" s="73"/>
      <c r="Z31" s="73"/>
      <c r="AA31" s="73"/>
      <c r="AB31" s="73"/>
      <c r="AC31" s="73"/>
      <c r="AD31" s="73"/>
      <c r="AE31" s="73"/>
      <c r="AF31" s="73"/>
      <c r="AG31" s="73"/>
      <c r="AH31" s="74"/>
    </row>
    <row r="32">
      <c r="A32" s="7">
        <v>33.0</v>
      </c>
      <c r="B32" s="15" t="s">
        <v>188</v>
      </c>
      <c r="C32" s="9" t="s">
        <v>162</v>
      </c>
      <c r="D32" s="10" t="b">
        <v>0</v>
      </c>
      <c r="E32" s="9" t="b">
        <v>0</v>
      </c>
      <c r="F32" s="9"/>
      <c r="G32" s="12"/>
      <c r="H32" s="12"/>
      <c r="I32" s="12"/>
      <c r="J32" s="12"/>
      <c r="K32" s="12"/>
      <c r="L32" s="13" t="s">
        <v>60</v>
      </c>
      <c r="M32" s="13" t="s">
        <v>37</v>
      </c>
      <c r="N32" s="10" t="b">
        <v>0</v>
      </c>
      <c r="O32" s="14">
        <v>1.6143780159E10</v>
      </c>
      <c r="P32" s="15" t="s">
        <v>189</v>
      </c>
      <c r="Q32" s="15" t="s">
        <v>190</v>
      </c>
      <c r="R32" s="15" t="s">
        <v>40</v>
      </c>
      <c r="S32" s="82"/>
      <c r="T32" s="67"/>
      <c r="U32" s="68"/>
      <c r="V32" s="68"/>
      <c r="W32" s="68"/>
      <c r="X32" s="68"/>
      <c r="Y32" s="68"/>
      <c r="Z32" s="68"/>
      <c r="AA32" s="68"/>
      <c r="AB32" s="68"/>
      <c r="AC32" s="68"/>
      <c r="AD32" s="68"/>
      <c r="AE32" s="68"/>
      <c r="AF32" s="68"/>
      <c r="AG32" s="68"/>
      <c r="AH32" s="69"/>
    </row>
    <row r="33">
      <c r="A33" s="64">
        <v>34.0</v>
      </c>
      <c r="B33" s="96" t="s">
        <v>191</v>
      </c>
      <c r="C33" s="21" t="s">
        <v>162</v>
      </c>
      <c r="D33" s="22" t="b">
        <v>0</v>
      </c>
      <c r="E33" s="21" t="b">
        <v>0</v>
      </c>
      <c r="F33" s="21"/>
      <c r="G33" s="23"/>
      <c r="H33" s="23"/>
      <c r="I33" s="23"/>
      <c r="J33" s="23"/>
      <c r="K33" s="23"/>
      <c r="L33" s="24" t="s">
        <v>60</v>
      </c>
      <c r="M33" s="24" t="s">
        <v>37</v>
      </c>
      <c r="N33" s="22" t="b">
        <v>0</v>
      </c>
      <c r="O33" s="25">
        <v>1.3109805189E10</v>
      </c>
      <c r="P33" s="100" t="s">
        <v>192</v>
      </c>
      <c r="Q33" s="26" t="s">
        <v>193</v>
      </c>
      <c r="R33" s="26" t="s">
        <v>194</v>
      </c>
      <c r="S33" s="79"/>
      <c r="T33" s="72"/>
      <c r="U33" s="73"/>
      <c r="V33" s="73"/>
      <c r="W33" s="73"/>
      <c r="X33" s="73"/>
      <c r="Y33" s="73"/>
      <c r="Z33" s="73"/>
      <c r="AA33" s="73"/>
      <c r="AB33" s="73"/>
      <c r="AC33" s="73"/>
      <c r="AD33" s="73"/>
      <c r="AE33" s="73"/>
      <c r="AF33" s="73"/>
      <c r="AG33" s="73"/>
      <c r="AH33" s="74"/>
    </row>
    <row r="34">
      <c r="A34" s="101">
        <v>35.0</v>
      </c>
      <c r="B34" s="102" t="s">
        <v>195</v>
      </c>
      <c r="C34" s="9" t="s">
        <v>185</v>
      </c>
      <c r="D34" s="10" t="b">
        <v>1</v>
      </c>
      <c r="E34" s="9" t="b">
        <v>1</v>
      </c>
      <c r="F34" s="9"/>
      <c r="G34" s="13">
        <v>1.0</v>
      </c>
      <c r="H34" s="12"/>
      <c r="I34" s="12"/>
      <c r="J34" s="12"/>
      <c r="K34" s="12"/>
      <c r="L34" s="13" t="s">
        <v>60</v>
      </c>
      <c r="M34" s="13" t="s">
        <v>37</v>
      </c>
      <c r="N34" s="10" t="b">
        <v>0</v>
      </c>
      <c r="O34" s="14">
        <v>2.062955888E9</v>
      </c>
      <c r="P34" s="15" t="s">
        <v>196</v>
      </c>
      <c r="Q34" s="15" t="s">
        <v>197</v>
      </c>
      <c r="R34" s="15" t="s">
        <v>198</v>
      </c>
      <c r="S34" s="90" t="s">
        <v>199</v>
      </c>
      <c r="T34" s="103" t="s">
        <v>200</v>
      </c>
      <c r="U34" s="17"/>
      <c r="V34" s="17"/>
      <c r="W34" s="17"/>
      <c r="X34" s="17"/>
      <c r="Y34" s="17"/>
      <c r="Z34" s="17"/>
      <c r="AA34" s="17"/>
      <c r="AB34" s="17"/>
      <c r="AC34" s="17"/>
      <c r="AD34" s="17"/>
      <c r="AE34" s="17"/>
      <c r="AF34" s="17"/>
      <c r="AG34" s="17"/>
      <c r="AH34" s="18"/>
    </row>
    <row r="35">
      <c r="A35" s="19">
        <v>36.0</v>
      </c>
      <c r="B35" s="65" t="s">
        <v>201</v>
      </c>
      <c r="C35" s="21" t="s">
        <v>185</v>
      </c>
      <c r="D35" s="22" t="b">
        <v>0</v>
      </c>
      <c r="E35" s="21" t="b">
        <v>0</v>
      </c>
      <c r="F35" s="21"/>
      <c r="G35" s="23"/>
      <c r="H35" s="23"/>
      <c r="I35" s="23"/>
      <c r="J35" s="23"/>
      <c r="K35" s="23"/>
      <c r="L35" s="24" t="s">
        <v>60</v>
      </c>
      <c r="M35" s="24" t="s">
        <v>53</v>
      </c>
      <c r="N35" s="22" t="b">
        <v>1</v>
      </c>
      <c r="O35" s="25">
        <v>8.609785063E9</v>
      </c>
      <c r="P35" s="26" t="s">
        <v>202</v>
      </c>
      <c r="Q35" s="26" t="s">
        <v>203</v>
      </c>
      <c r="R35" s="26" t="s">
        <v>56</v>
      </c>
      <c r="S35" s="104" t="s">
        <v>204</v>
      </c>
      <c r="T35" s="104" t="s">
        <v>205</v>
      </c>
      <c r="U35" s="105"/>
      <c r="V35" s="105"/>
      <c r="W35" s="105"/>
      <c r="X35" s="105"/>
      <c r="Y35" s="105"/>
      <c r="Z35" s="105"/>
      <c r="AA35" s="105"/>
      <c r="AB35" s="105"/>
      <c r="AC35" s="105"/>
      <c r="AD35" s="105"/>
      <c r="AE35" s="105"/>
      <c r="AF35" s="105"/>
      <c r="AG35" s="105"/>
      <c r="AH35" s="106"/>
    </row>
    <row r="36">
      <c r="A36" s="7">
        <v>37.0</v>
      </c>
      <c r="B36" s="20" t="s">
        <v>206</v>
      </c>
      <c r="C36" s="9" t="s">
        <v>162</v>
      </c>
      <c r="D36" s="10" t="b">
        <v>1</v>
      </c>
      <c r="E36" s="9" t="b">
        <v>0</v>
      </c>
      <c r="F36" s="9"/>
      <c r="G36" s="13">
        <v>2.0</v>
      </c>
      <c r="H36" s="13" t="s">
        <v>143</v>
      </c>
      <c r="I36" s="13">
        <v>4.0</v>
      </c>
      <c r="J36" s="13">
        <v>2.0</v>
      </c>
      <c r="K36" s="13" t="s">
        <v>144</v>
      </c>
      <c r="L36" s="13" t="s">
        <v>36</v>
      </c>
      <c r="M36" s="13" t="s">
        <v>37</v>
      </c>
      <c r="N36" s="10" t="b">
        <v>0</v>
      </c>
      <c r="O36" s="14">
        <v>6.318918133E9</v>
      </c>
      <c r="P36" s="15" t="s">
        <v>207</v>
      </c>
      <c r="Q36" s="15" t="s">
        <v>208</v>
      </c>
      <c r="R36" s="15" t="s">
        <v>77</v>
      </c>
      <c r="S36" s="89" t="s">
        <v>209</v>
      </c>
      <c r="T36" s="90" t="s">
        <v>210</v>
      </c>
      <c r="U36" s="91"/>
      <c r="V36" s="91"/>
      <c r="W36" s="91"/>
      <c r="X36" s="91"/>
      <c r="Y36" s="91"/>
      <c r="Z36" s="91"/>
      <c r="AA36" s="91"/>
      <c r="AB36" s="91"/>
      <c r="AC36" s="91"/>
      <c r="AD36" s="91"/>
      <c r="AE36" s="91"/>
      <c r="AF36" s="91"/>
      <c r="AG36" s="91"/>
      <c r="AH36" s="92"/>
    </row>
    <row r="37">
      <c r="A37" s="19">
        <v>38.0</v>
      </c>
      <c r="B37" s="26" t="s">
        <v>211</v>
      </c>
      <c r="C37" s="21" t="s">
        <v>162</v>
      </c>
      <c r="D37" s="22" t="b">
        <v>0</v>
      </c>
      <c r="E37" s="21" t="b">
        <v>0</v>
      </c>
      <c r="F37" s="21"/>
      <c r="G37" s="24">
        <v>2.0</v>
      </c>
      <c r="H37" s="24" t="s">
        <v>143</v>
      </c>
      <c r="I37" s="24">
        <v>4.0</v>
      </c>
      <c r="J37" s="24">
        <v>3.0</v>
      </c>
      <c r="K37" s="24" t="s">
        <v>144</v>
      </c>
      <c r="L37" s="24" t="s">
        <v>60</v>
      </c>
      <c r="M37" s="24" t="s">
        <v>37</v>
      </c>
      <c r="N37" s="22" t="b">
        <v>0</v>
      </c>
      <c r="O37" s="25">
        <v>1.6462065623E10</v>
      </c>
      <c r="P37" s="26" t="s">
        <v>212</v>
      </c>
      <c r="Q37" s="26" t="s">
        <v>213</v>
      </c>
      <c r="R37" s="26" t="s">
        <v>40</v>
      </c>
      <c r="S37" s="71" t="s">
        <v>214</v>
      </c>
      <c r="T37" s="26" t="s">
        <v>215</v>
      </c>
      <c r="U37" s="80"/>
      <c r="V37" s="80"/>
      <c r="W37" s="80"/>
      <c r="X37" s="80"/>
      <c r="Y37" s="80"/>
      <c r="Z37" s="80"/>
      <c r="AA37" s="80"/>
      <c r="AB37" s="80"/>
      <c r="AC37" s="80"/>
      <c r="AD37" s="80"/>
      <c r="AE37" s="80"/>
      <c r="AF37" s="80"/>
      <c r="AG37" s="80"/>
      <c r="AH37" s="81"/>
    </row>
    <row r="38">
      <c r="A38" s="31">
        <v>39.0</v>
      </c>
      <c r="B38" s="16" t="s">
        <v>216</v>
      </c>
      <c r="C38" s="9" t="s">
        <v>185</v>
      </c>
      <c r="D38" s="10" t="b">
        <v>0</v>
      </c>
      <c r="E38" s="9" t="b">
        <v>0</v>
      </c>
      <c r="F38" s="9"/>
      <c r="G38" s="12"/>
      <c r="H38" s="12"/>
      <c r="I38" s="12"/>
      <c r="J38" s="12"/>
      <c r="K38" s="12"/>
      <c r="L38" s="13" t="s">
        <v>60</v>
      </c>
      <c r="M38" s="13" t="s">
        <v>37</v>
      </c>
      <c r="N38" s="10" t="b">
        <v>0</v>
      </c>
      <c r="O38" s="14">
        <v>2.027462046E9</v>
      </c>
      <c r="P38" s="16" t="s">
        <v>217</v>
      </c>
      <c r="Q38" s="16" t="s">
        <v>218</v>
      </c>
      <c r="R38" s="90" t="s">
        <v>105</v>
      </c>
      <c r="S38" s="107" t="s">
        <v>219</v>
      </c>
      <c r="T38" s="108" t="s">
        <v>220</v>
      </c>
      <c r="U38" s="109"/>
      <c r="V38" s="109"/>
      <c r="W38" s="109"/>
      <c r="X38" s="109"/>
      <c r="Y38" s="109"/>
      <c r="Z38" s="109"/>
      <c r="AA38" s="109"/>
      <c r="AB38" s="109"/>
      <c r="AC38" s="109"/>
      <c r="AD38" s="109"/>
      <c r="AE38" s="109"/>
      <c r="AF38" s="109"/>
      <c r="AG38" s="109"/>
      <c r="AH38" s="110"/>
    </row>
    <row r="39">
      <c r="A39" s="83">
        <v>40.0</v>
      </c>
      <c r="B39" s="99" t="s">
        <v>221</v>
      </c>
      <c r="C39" s="21" t="s">
        <v>185</v>
      </c>
      <c r="D39" s="22" t="b">
        <v>0</v>
      </c>
      <c r="E39" s="21" t="b">
        <v>0</v>
      </c>
      <c r="F39" s="21"/>
      <c r="G39" s="24"/>
      <c r="H39" s="24"/>
      <c r="I39" s="24"/>
      <c r="J39" s="24"/>
      <c r="K39" s="24"/>
      <c r="L39" s="24" t="s">
        <v>36</v>
      </c>
      <c r="M39" s="24" t="s">
        <v>53</v>
      </c>
      <c r="N39" s="22" t="b">
        <v>1</v>
      </c>
      <c r="O39" s="25">
        <v>1.9729227231E10</v>
      </c>
      <c r="P39" s="26" t="s">
        <v>222</v>
      </c>
      <c r="Q39" s="26" t="s">
        <v>115</v>
      </c>
      <c r="R39" s="26" t="s">
        <v>63</v>
      </c>
      <c r="S39" s="79"/>
      <c r="T39" s="26" t="s">
        <v>223</v>
      </c>
      <c r="U39" s="80"/>
      <c r="V39" s="80"/>
      <c r="W39" s="80"/>
      <c r="X39" s="80"/>
      <c r="Y39" s="80"/>
      <c r="Z39" s="80"/>
      <c r="AA39" s="80"/>
      <c r="AB39" s="80"/>
      <c r="AC39" s="80"/>
      <c r="AD39" s="80"/>
      <c r="AE39" s="80"/>
      <c r="AF39" s="80"/>
      <c r="AG39" s="80"/>
      <c r="AH39" s="81"/>
    </row>
    <row r="40">
      <c r="A40" s="7">
        <v>41.0</v>
      </c>
      <c r="B40" s="15" t="s">
        <v>224</v>
      </c>
      <c r="C40" s="9" t="s">
        <v>185</v>
      </c>
      <c r="D40" s="10" t="b">
        <v>0</v>
      </c>
      <c r="E40" s="9" t="b">
        <v>0</v>
      </c>
      <c r="F40" s="9"/>
      <c r="G40" s="12"/>
      <c r="H40" s="12"/>
      <c r="I40" s="12"/>
      <c r="J40" s="12"/>
      <c r="K40" s="12"/>
      <c r="L40" s="13" t="s">
        <v>60</v>
      </c>
      <c r="M40" s="13" t="s">
        <v>37</v>
      </c>
      <c r="N40" s="10" t="b">
        <v>0</v>
      </c>
      <c r="O40" s="14">
        <v>6.142143954E9</v>
      </c>
      <c r="P40" s="15" t="s">
        <v>225</v>
      </c>
      <c r="Q40" s="67"/>
      <c r="R40" s="15" t="s">
        <v>109</v>
      </c>
      <c r="S40" s="16"/>
      <c r="T40" s="16" t="s">
        <v>226</v>
      </c>
      <c r="U40" s="17"/>
      <c r="V40" s="17"/>
      <c r="W40" s="17"/>
      <c r="X40" s="17"/>
      <c r="Y40" s="17"/>
      <c r="Z40" s="17"/>
      <c r="AA40" s="17"/>
      <c r="AB40" s="17"/>
      <c r="AC40" s="17"/>
      <c r="AD40" s="17"/>
      <c r="AE40" s="17"/>
      <c r="AF40" s="17"/>
      <c r="AG40" s="17"/>
      <c r="AH40" s="18"/>
    </row>
    <row r="41">
      <c r="A41" s="19">
        <v>43.0</v>
      </c>
      <c r="B41" s="20" t="s">
        <v>227</v>
      </c>
      <c r="C41" s="21" t="s">
        <v>185</v>
      </c>
      <c r="D41" s="22" t="b">
        <v>1</v>
      </c>
      <c r="E41" s="21" t="b">
        <v>0</v>
      </c>
      <c r="F41" s="21"/>
      <c r="G41" s="24">
        <v>2.0</v>
      </c>
      <c r="H41" s="24" t="s">
        <v>143</v>
      </c>
      <c r="I41" s="24">
        <v>3.0</v>
      </c>
      <c r="J41" s="24">
        <v>1.0</v>
      </c>
      <c r="K41" s="24" t="s">
        <v>144</v>
      </c>
      <c r="L41" s="24" t="s">
        <v>36</v>
      </c>
      <c r="M41" s="24" t="s">
        <v>37</v>
      </c>
      <c r="N41" s="22" t="b">
        <v>0</v>
      </c>
      <c r="O41" s="25">
        <v>2.144557121E9</v>
      </c>
      <c r="P41" s="26" t="s">
        <v>228</v>
      </c>
      <c r="Q41" s="26" t="s">
        <v>62</v>
      </c>
      <c r="R41" s="26" t="s">
        <v>63</v>
      </c>
      <c r="S41" s="66" t="s">
        <v>229</v>
      </c>
      <c r="T41" s="86" t="s">
        <v>230</v>
      </c>
      <c r="U41" s="87"/>
      <c r="V41" s="87"/>
      <c r="W41" s="87"/>
      <c r="X41" s="87"/>
      <c r="Y41" s="87"/>
      <c r="Z41" s="87"/>
      <c r="AA41" s="87"/>
      <c r="AB41" s="87"/>
      <c r="AC41" s="87"/>
      <c r="AD41" s="87"/>
      <c r="AE41" s="87"/>
      <c r="AF41" s="87"/>
      <c r="AG41" s="87"/>
      <c r="AH41" s="88"/>
    </row>
    <row r="42">
      <c r="A42" s="75">
        <v>45.0</v>
      </c>
      <c r="B42" s="111" t="s">
        <v>231</v>
      </c>
      <c r="C42" s="9" t="s">
        <v>162</v>
      </c>
      <c r="D42" s="10" t="b">
        <v>1</v>
      </c>
      <c r="E42" s="9" t="b">
        <v>0</v>
      </c>
      <c r="F42" s="9"/>
      <c r="G42" s="12"/>
      <c r="H42" s="12"/>
      <c r="I42" s="12"/>
      <c r="J42" s="12"/>
      <c r="K42" s="12"/>
      <c r="L42" s="13" t="s">
        <v>60</v>
      </c>
      <c r="M42" s="13" t="s">
        <v>37</v>
      </c>
      <c r="N42" s="10" t="b">
        <v>0</v>
      </c>
      <c r="O42" s="14">
        <v>3.104979762E9</v>
      </c>
      <c r="P42" s="15" t="s">
        <v>232</v>
      </c>
      <c r="Q42" s="15" t="s">
        <v>233</v>
      </c>
      <c r="R42" s="15" t="s">
        <v>194</v>
      </c>
      <c r="S42" s="112" t="s">
        <v>234</v>
      </c>
      <c r="T42" s="113" t="s">
        <v>235</v>
      </c>
      <c r="U42" s="114"/>
      <c r="V42" s="114"/>
      <c r="W42" s="114"/>
      <c r="X42" s="114"/>
      <c r="Y42" s="114"/>
      <c r="Z42" s="114"/>
      <c r="AA42" s="114"/>
      <c r="AB42" s="114"/>
      <c r="AC42" s="114"/>
      <c r="AD42" s="114"/>
      <c r="AE42" s="114"/>
      <c r="AF42" s="114"/>
      <c r="AG42" s="114"/>
      <c r="AH42" s="115"/>
    </row>
    <row r="43">
      <c r="A43" s="19">
        <v>46.0</v>
      </c>
      <c r="B43" s="116" t="s">
        <v>236</v>
      </c>
      <c r="C43" s="21" t="s">
        <v>162</v>
      </c>
      <c r="D43" s="22" t="b">
        <v>1</v>
      </c>
      <c r="E43" s="21" t="b">
        <v>0</v>
      </c>
      <c r="F43" s="21"/>
      <c r="G43" s="23"/>
      <c r="H43" s="23"/>
      <c r="I43" s="23"/>
      <c r="J43" s="23"/>
      <c r="K43" s="23"/>
      <c r="L43" s="13" t="s">
        <v>60</v>
      </c>
      <c r="M43" s="13" t="s">
        <v>37</v>
      </c>
      <c r="N43" s="10" t="b">
        <v>0</v>
      </c>
      <c r="O43" s="14">
        <v>1.2164038711E10</v>
      </c>
      <c r="P43" s="117" t="s">
        <v>237</v>
      </c>
      <c r="Q43" s="15" t="s">
        <v>238</v>
      </c>
      <c r="R43" s="15" t="s">
        <v>109</v>
      </c>
      <c r="S43" s="82"/>
      <c r="T43" s="118"/>
      <c r="U43" s="73"/>
      <c r="V43" s="73"/>
      <c r="W43" s="73"/>
      <c r="X43" s="73"/>
      <c r="Y43" s="73"/>
      <c r="Z43" s="73"/>
      <c r="AA43" s="73"/>
      <c r="AB43" s="73"/>
      <c r="AC43" s="73"/>
      <c r="AD43" s="73"/>
      <c r="AE43" s="73"/>
      <c r="AF43" s="73"/>
      <c r="AG43" s="73"/>
      <c r="AH43" s="74"/>
    </row>
    <row r="44">
      <c r="A44" s="7">
        <v>48.0</v>
      </c>
      <c r="B44" s="119" t="s">
        <v>239</v>
      </c>
      <c r="C44" s="9" t="s">
        <v>185</v>
      </c>
      <c r="D44" s="10" t="b">
        <v>0</v>
      </c>
      <c r="E44" s="9" t="b">
        <v>0</v>
      </c>
      <c r="F44" s="9"/>
      <c r="G44" s="12"/>
      <c r="H44" s="12"/>
      <c r="I44" s="12"/>
      <c r="J44" s="12"/>
      <c r="K44" s="12"/>
      <c r="L44" s="13" t="s">
        <v>36</v>
      </c>
      <c r="M44" s="13" t="s">
        <v>53</v>
      </c>
      <c r="N44" s="10" t="b">
        <v>1</v>
      </c>
      <c r="O44" s="14">
        <v>8.655665406E9</v>
      </c>
      <c r="P44" s="15" t="s">
        <v>240</v>
      </c>
      <c r="Q44" s="15" t="s">
        <v>241</v>
      </c>
      <c r="R44" s="15" t="s">
        <v>40</v>
      </c>
      <c r="S44" s="16" t="s">
        <v>242</v>
      </c>
      <c r="T44" s="16" t="s">
        <v>243</v>
      </c>
      <c r="U44" s="17"/>
      <c r="V44" s="17"/>
      <c r="W44" s="17"/>
      <c r="X44" s="17"/>
      <c r="Y44" s="17"/>
      <c r="Z44" s="17"/>
      <c r="AA44" s="17"/>
      <c r="AB44" s="17"/>
      <c r="AC44" s="17"/>
      <c r="AD44" s="17"/>
      <c r="AE44" s="17"/>
      <c r="AF44" s="17"/>
      <c r="AG44" s="17"/>
      <c r="AH44" s="18"/>
    </row>
    <row r="45">
      <c r="A45" s="64">
        <v>49.0</v>
      </c>
      <c r="B45" s="26" t="s">
        <v>244</v>
      </c>
      <c r="C45" s="21" t="s">
        <v>185</v>
      </c>
      <c r="D45" s="22" t="b">
        <v>0</v>
      </c>
      <c r="E45" s="21" t="b">
        <v>0</v>
      </c>
      <c r="F45" s="21"/>
      <c r="G45" s="23"/>
      <c r="H45" s="23"/>
      <c r="I45" s="23"/>
      <c r="J45" s="23"/>
      <c r="K45" s="23"/>
      <c r="L45" s="24" t="s">
        <v>60</v>
      </c>
      <c r="M45" s="24" t="s">
        <v>37</v>
      </c>
      <c r="N45" s="22" t="b">
        <v>0</v>
      </c>
      <c r="O45" s="25">
        <v>1.3236100065E10</v>
      </c>
      <c r="P45" s="26" t="s">
        <v>245</v>
      </c>
      <c r="Q45" s="26" t="s">
        <v>246</v>
      </c>
      <c r="R45" s="26" t="s">
        <v>247</v>
      </c>
      <c r="S45" s="79"/>
      <c r="T45" s="72"/>
      <c r="U45" s="73"/>
      <c r="V45" s="73"/>
      <c r="W45" s="73"/>
      <c r="X45" s="73"/>
      <c r="Y45" s="73"/>
      <c r="Z45" s="73"/>
      <c r="AA45" s="73"/>
      <c r="AB45" s="73"/>
      <c r="AC45" s="73"/>
      <c r="AD45" s="73"/>
      <c r="AE45" s="73"/>
      <c r="AF45" s="73"/>
      <c r="AG45" s="73"/>
      <c r="AH45" s="74"/>
    </row>
    <row r="46">
      <c r="A46" s="75">
        <v>50.0</v>
      </c>
      <c r="B46" s="120" t="s">
        <v>248</v>
      </c>
      <c r="C46" s="9" t="s">
        <v>162</v>
      </c>
      <c r="D46" s="10" t="b">
        <v>0</v>
      </c>
      <c r="E46" s="9" t="b">
        <v>0</v>
      </c>
      <c r="F46" s="9"/>
      <c r="G46" s="13">
        <v>2.0</v>
      </c>
      <c r="H46" s="13" t="s">
        <v>143</v>
      </c>
      <c r="I46" s="13">
        <v>4.0</v>
      </c>
      <c r="J46" s="13">
        <v>2.0</v>
      </c>
      <c r="K46" s="13" t="s">
        <v>144</v>
      </c>
      <c r="L46" s="13" t="s">
        <v>36</v>
      </c>
      <c r="M46" s="13" t="s">
        <v>37</v>
      </c>
      <c r="N46" s="10" t="b">
        <v>0</v>
      </c>
      <c r="O46" s="14">
        <v>3.102703744E9</v>
      </c>
      <c r="P46" s="15" t="s">
        <v>249</v>
      </c>
      <c r="Q46" s="15" t="s">
        <v>250</v>
      </c>
      <c r="R46" s="15" t="s">
        <v>194</v>
      </c>
      <c r="S46" s="89" t="s">
        <v>251</v>
      </c>
      <c r="T46" s="90" t="s">
        <v>252</v>
      </c>
      <c r="U46" s="91"/>
      <c r="V46" s="91"/>
      <c r="W46" s="91"/>
      <c r="X46" s="91"/>
      <c r="Y46" s="91"/>
      <c r="Z46" s="91"/>
      <c r="AA46" s="91"/>
      <c r="AB46" s="91"/>
      <c r="AC46" s="91"/>
      <c r="AD46" s="91"/>
      <c r="AE46" s="91"/>
      <c r="AF46" s="91"/>
      <c r="AG46" s="91"/>
      <c r="AH46" s="92"/>
    </row>
    <row r="47">
      <c r="A47" s="19">
        <v>51.0</v>
      </c>
      <c r="B47" s="26" t="s">
        <v>253</v>
      </c>
      <c r="C47" s="21" t="s">
        <v>162</v>
      </c>
      <c r="D47" s="22" t="b">
        <v>1</v>
      </c>
      <c r="E47" s="21" t="b">
        <v>0</v>
      </c>
      <c r="F47" s="21"/>
      <c r="G47" s="23"/>
      <c r="H47" s="23"/>
      <c r="I47" s="23"/>
      <c r="J47" s="23"/>
      <c r="K47" s="23"/>
      <c r="L47" s="24" t="s">
        <v>60</v>
      </c>
      <c r="M47" s="24" t="s">
        <v>37</v>
      </c>
      <c r="N47" s="22" t="b">
        <v>0</v>
      </c>
      <c r="O47" s="25">
        <v>3.109805189E9</v>
      </c>
      <c r="P47" s="26" t="s">
        <v>254</v>
      </c>
      <c r="Q47" s="26" t="s">
        <v>193</v>
      </c>
      <c r="R47" s="26" t="s">
        <v>194</v>
      </c>
      <c r="S47" s="86" t="s">
        <v>255</v>
      </c>
      <c r="T47" s="86" t="s">
        <v>256</v>
      </c>
      <c r="U47" s="87"/>
      <c r="V47" s="87"/>
      <c r="W47" s="87"/>
      <c r="X47" s="87"/>
      <c r="Y47" s="87"/>
      <c r="Z47" s="87"/>
      <c r="AA47" s="87"/>
      <c r="AB47" s="87"/>
      <c r="AC47" s="87"/>
      <c r="AD47" s="87"/>
      <c r="AE47" s="87"/>
      <c r="AF47" s="87"/>
      <c r="AG47" s="87"/>
      <c r="AH47" s="88"/>
    </row>
    <row r="48">
      <c r="A48" s="31">
        <v>52.0</v>
      </c>
      <c r="B48" s="8" t="s">
        <v>257</v>
      </c>
      <c r="C48" s="9" t="s">
        <v>185</v>
      </c>
      <c r="D48" s="10" t="b">
        <v>0</v>
      </c>
      <c r="E48" s="9" t="b">
        <v>0</v>
      </c>
      <c r="F48" s="9"/>
      <c r="G48" s="12"/>
      <c r="H48" s="12"/>
      <c r="I48" s="12"/>
      <c r="J48" s="12"/>
      <c r="K48" s="12"/>
      <c r="L48" s="13" t="s">
        <v>36</v>
      </c>
      <c r="M48" s="13" t="s">
        <v>53</v>
      </c>
      <c r="N48" s="10" t="b">
        <v>1</v>
      </c>
      <c r="O48" s="14">
        <v>1.2032068666E10</v>
      </c>
      <c r="P48" s="15" t="s">
        <v>258</v>
      </c>
      <c r="Q48" s="15" t="s">
        <v>83</v>
      </c>
      <c r="R48" s="15" t="s">
        <v>84</v>
      </c>
      <c r="S48" s="82"/>
      <c r="T48" s="15" t="s">
        <v>259</v>
      </c>
      <c r="U48" s="77"/>
      <c r="V48" s="77"/>
      <c r="W48" s="77"/>
      <c r="X48" s="77"/>
      <c r="Y48" s="77"/>
      <c r="Z48" s="77"/>
      <c r="AA48" s="77"/>
      <c r="AB48" s="77"/>
      <c r="AC48" s="77"/>
      <c r="AD48" s="77"/>
      <c r="AE48" s="77"/>
      <c r="AF48" s="77"/>
      <c r="AG48" s="77"/>
      <c r="AH48" s="78"/>
    </row>
    <row r="49">
      <c r="A49" s="19">
        <v>53.0</v>
      </c>
      <c r="B49" s="26" t="s">
        <v>260</v>
      </c>
      <c r="C49" s="21" t="s">
        <v>162</v>
      </c>
      <c r="D49" s="22" t="b">
        <v>1</v>
      </c>
      <c r="E49" s="21" t="b">
        <v>0</v>
      </c>
      <c r="F49" s="21"/>
      <c r="G49" s="24">
        <v>1.0</v>
      </c>
      <c r="H49" s="24" t="s">
        <v>143</v>
      </c>
      <c r="I49" s="24">
        <v>4.0</v>
      </c>
      <c r="J49" s="24">
        <v>3.0</v>
      </c>
      <c r="K49" s="24" t="s">
        <v>144</v>
      </c>
      <c r="L49" s="24" t="s">
        <v>60</v>
      </c>
      <c r="M49" s="24" t="s">
        <v>37</v>
      </c>
      <c r="N49" s="22" t="b">
        <v>0</v>
      </c>
      <c r="O49" s="25">
        <v>1.2159012951E10</v>
      </c>
      <c r="P49" s="26" t="s">
        <v>261</v>
      </c>
      <c r="Q49" s="26" t="s">
        <v>262</v>
      </c>
      <c r="R49" s="26" t="s">
        <v>70</v>
      </c>
      <c r="S49" s="79"/>
      <c r="T49" s="26" t="s">
        <v>263</v>
      </c>
      <c r="U49" s="80"/>
      <c r="V49" s="80"/>
      <c r="W49" s="80"/>
      <c r="X49" s="80"/>
      <c r="Y49" s="80"/>
      <c r="Z49" s="80"/>
      <c r="AA49" s="80"/>
      <c r="AB49" s="80"/>
      <c r="AC49" s="80"/>
      <c r="AD49" s="80"/>
      <c r="AE49" s="80"/>
      <c r="AF49" s="80"/>
      <c r="AG49" s="80"/>
      <c r="AH49" s="81"/>
    </row>
    <row r="50">
      <c r="A50" s="31">
        <v>54.0</v>
      </c>
      <c r="B50" s="70" t="s">
        <v>264</v>
      </c>
      <c r="C50" s="9" t="s">
        <v>185</v>
      </c>
      <c r="D50" s="10" t="b">
        <v>1</v>
      </c>
      <c r="E50" s="9" t="b">
        <v>0</v>
      </c>
      <c r="F50" s="9"/>
      <c r="G50" s="12"/>
      <c r="H50" s="12"/>
      <c r="I50" s="12"/>
      <c r="J50" s="12"/>
      <c r="K50" s="12"/>
      <c r="L50" s="13" t="s">
        <v>60</v>
      </c>
      <c r="M50" s="13" t="s">
        <v>37</v>
      </c>
      <c r="N50" s="10" t="b">
        <v>0</v>
      </c>
      <c r="O50" s="14">
        <v>4.153023361E9</v>
      </c>
      <c r="P50" s="15" t="s">
        <v>265</v>
      </c>
      <c r="Q50" s="15" t="s">
        <v>266</v>
      </c>
      <c r="R50" s="15" t="s">
        <v>194</v>
      </c>
      <c r="S50" s="16" t="s">
        <v>267</v>
      </c>
      <c r="T50" s="16" t="s">
        <v>268</v>
      </c>
      <c r="U50" s="17"/>
      <c r="V50" s="17"/>
      <c r="W50" s="17"/>
      <c r="X50" s="17"/>
      <c r="Y50" s="17"/>
      <c r="Z50" s="17"/>
      <c r="AA50" s="17"/>
      <c r="AB50" s="17"/>
      <c r="AC50" s="17"/>
      <c r="AD50" s="17"/>
      <c r="AE50" s="17"/>
      <c r="AF50" s="17"/>
      <c r="AG50" s="17"/>
      <c r="AH50" s="18"/>
    </row>
    <row r="51">
      <c r="A51" s="83">
        <v>55.0</v>
      </c>
      <c r="B51" s="84" t="s">
        <v>269</v>
      </c>
      <c r="C51" s="21" t="s">
        <v>162</v>
      </c>
      <c r="D51" s="22" t="b">
        <v>1</v>
      </c>
      <c r="E51" s="21" t="b">
        <v>0</v>
      </c>
      <c r="F51" s="21"/>
      <c r="G51" s="23"/>
      <c r="H51" s="23"/>
      <c r="I51" s="23"/>
      <c r="J51" s="23"/>
      <c r="K51" s="23"/>
      <c r="L51" s="24" t="s">
        <v>36</v>
      </c>
      <c r="M51" s="24" t="s">
        <v>37</v>
      </c>
      <c r="N51" s="22" t="b">
        <v>0</v>
      </c>
      <c r="O51" s="25">
        <v>4.152500051E9</v>
      </c>
      <c r="P51" s="26" t="s">
        <v>270</v>
      </c>
      <c r="Q51" s="26" t="s">
        <v>266</v>
      </c>
      <c r="R51" s="26" t="s">
        <v>194</v>
      </c>
      <c r="S51" s="86" t="s">
        <v>271</v>
      </c>
      <c r="T51" s="86" t="s">
        <v>272</v>
      </c>
      <c r="U51" s="87"/>
      <c r="V51" s="87"/>
      <c r="W51" s="87"/>
      <c r="X51" s="87"/>
      <c r="Y51" s="87"/>
      <c r="Z51" s="87"/>
      <c r="AA51" s="87"/>
      <c r="AB51" s="87"/>
      <c r="AC51" s="87"/>
      <c r="AD51" s="87"/>
      <c r="AE51" s="87"/>
      <c r="AF51" s="87"/>
      <c r="AG51" s="87"/>
      <c r="AH51" s="88"/>
    </row>
    <row r="52">
      <c r="A52" s="7">
        <v>56.0</v>
      </c>
      <c r="B52" s="9" t="s">
        <v>273</v>
      </c>
      <c r="C52" s="9" t="s">
        <v>162</v>
      </c>
      <c r="D52" s="10" t="b">
        <v>0</v>
      </c>
      <c r="E52" s="9" t="b">
        <v>0</v>
      </c>
      <c r="F52" s="9"/>
      <c r="G52" s="13">
        <v>2.0</v>
      </c>
      <c r="H52" s="13" t="s">
        <v>143</v>
      </c>
      <c r="I52" s="13">
        <v>1.0</v>
      </c>
      <c r="J52" s="13" t="s">
        <v>143</v>
      </c>
      <c r="K52" s="13" t="s">
        <v>172</v>
      </c>
      <c r="L52" s="13" t="s">
        <v>60</v>
      </c>
      <c r="M52" s="13" t="s">
        <v>53</v>
      </c>
      <c r="N52" s="10" t="b">
        <v>1</v>
      </c>
      <c r="O52" s="14">
        <v>9.72585008086E11</v>
      </c>
      <c r="P52" s="15" t="s">
        <v>274</v>
      </c>
      <c r="Q52" s="15" t="s">
        <v>233</v>
      </c>
      <c r="R52" s="15" t="s">
        <v>194</v>
      </c>
      <c r="S52" s="34"/>
      <c r="T52" s="15" t="s">
        <v>275</v>
      </c>
      <c r="U52" s="77"/>
      <c r="V52" s="77"/>
      <c r="W52" s="77"/>
      <c r="X52" s="77"/>
      <c r="Y52" s="77"/>
      <c r="Z52" s="77"/>
      <c r="AA52" s="77"/>
      <c r="AB52" s="77"/>
      <c r="AC52" s="77"/>
      <c r="AD52" s="77"/>
      <c r="AE52" s="77"/>
      <c r="AF52" s="77"/>
      <c r="AG52" s="77"/>
      <c r="AH52" s="78"/>
    </row>
    <row r="53">
      <c r="A53" s="64">
        <v>57.0</v>
      </c>
      <c r="B53" s="65" t="s">
        <v>276</v>
      </c>
      <c r="C53" s="21" t="s">
        <v>162</v>
      </c>
      <c r="D53" s="22" t="b">
        <v>1</v>
      </c>
      <c r="E53" s="21" t="b">
        <v>0</v>
      </c>
      <c r="F53" s="21"/>
      <c r="G53" s="23"/>
      <c r="H53" s="23"/>
      <c r="I53" s="23"/>
      <c r="J53" s="23"/>
      <c r="K53" s="23"/>
      <c r="L53" s="24" t="s">
        <v>60</v>
      </c>
      <c r="M53" s="24" t="s">
        <v>37</v>
      </c>
      <c r="N53" s="22" t="b">
        <v>0</v>
      </c>
      <c r="O53" s="25">
        <v>3.1023404E9</v>
      </c>
      <c r="P53" s="26" t="s">
        <v>277</v>
      </c>
      <c r="Q53" s="26" t="s">
        <v>233</v>
      </c>
      <c r="R53" s="26" t="s">
        <v>194</v>
      </c>
      <c r="S53" s="71" t="s">
        <v>278</v>
      </c>
      <c r="T53" s="26" t="s">
        <v>279</v>
      </c>
      <c r="U53" s="80"/>
      <c r="V53" s="80"/>
      <c r="W53" s="80"/>
      <c r="X53" s="80"/>
      <c r="Y53" s="80"/>
      <c r="Z53" s="80"/>
      <c r="AA53" s="80"/>
      <c r="AB53" s="80"/>
      <c r="AC53" s="80"/>
      <c r="AD53" s="80"/>
      <c r="AE53" s="80"/>
      <c r="AF53" s="80"/>
      <c r="AG53" s="80"/>
      <c r="AH53" s="81"/>
    </row>
    <row r="54">
      <c r="A54" s="7">
        <v>58.0</v>
      </c>
      <c r="B54" s="15" t="s">
        <v>280</v>
      </c>
      <c r="C54" s="9" t="s">
        <v>185</v>
      </c>
      <c r="D54" s="10" t="b">
        <v>0</v>
      </c>
      <c r="E54" s="9" t="b">
        <v>0</v>
      </c>
      <c r="F54" s="9"/>
      <c r="G54" s="12"/>
      <c r="H54" s="12"/>
      <c r="I54" s="12"/>
      <c r="J54" s="12"/>
      <c r="K54" s="12"/>
      <c r="L54" s="13" t="s">
        <v>60</v>
      </c>
      <c r="M54" s="13" t="s">
        <v>37</v>
      </c>
      <c r="N54" s="10" t="b">
        <v>0</v>
      </c>
      <c r="O54" s="14">
        <v>2.164967816E9</v>
      </c>
      <c r="P54" s="15" t="s">
        <v>281</v>
      </c>
      <c r="Q54" s="15" t="s">
        <v>238</v>
      </c>
      <c r="R54" s="15" t="s">
        <v>109</v>
      </c>
      <c r="S54" s="16" t="s">
        <v>282</v>
      </c>
      <c r="T54" s="16" t="s">
        <v>283</v>
      </c>
      <c r="U54" s="17"/>
      <c r="V54" s="17"/>
      <c r="W54" s="17"/>
      <c r="X54" s="17"/>
      <c r="Y54" s="17"/>
      <c r="Z54" s="17"/>
      <c r="AA54" s="17"/>
      <c r="AB54" s="17"/>
      <c r="AC54" s="17"/>
      <c r="AD54" s="17"/>
      <c r="AE54" s="17"/>
      <c r="AF54" s="17"/>
      <c r="AG54" s="17"/>
      <c r="AH54" s="18"/>
    </row>
    <row r="55">
      <c r="A55" s="64">
        <v>59.0</v>
      </c>
      <c r="B55" s="121" t="s">
        <v>284</v>
      </c>
      <c r="C55" s="21" t="s">
        <v>162</v>
      </c>
      <c r="D55" s="22" t="b">
        <v>1</v>
      </c>
      <c r="E55" s="21" t="b">
        <v>0</v>
      </c>
      <c r="F55" s="21"/>
      <c r="G55" s="23"/>
      <c r="H55" s="23"/>
      <c r="I55" s="23"/>
      <c r="J55" s="23"/>
      <c r="K55" s="23"/>
      <c r="L55" s="24" t="s">
        <v>36</v>
      </c>
      <c r="M55" s="24" t="s">
        <v>37</v>
      </c>
      <c r="N55" s="22" t="b">
        <v>0</v>
      </c>
      <c r="O55" s="94">
        <v>9.173458238E9</v>
      </c>
      <c r="P55" s="26" t="s">
        <v>285</v>
      </c>
      <c r="Q55" s="86" t="s">
        <v>286</v>
      </c>
      <c r="R55" s="86" t="s">
        <v>40</v>
      </c>
      <c r="S55" s="79"/>
      <c r="T55" s="72"/>
      <c r="U55" s="73"/>
      <c r="V55" s="73"/>
      <c r="W55" s="73"/>
      <c r="X55" s="73"/>
      <c r="Y55" s="73"/>
      <c r="Z55" s="73"/>
      <c r="AA55" s="73"/>
      <c r="AB55" s="73"/>
      <c r="AC55" s="73"/>
      <c r="AD55" s="73"/>
      <c r="AE55" s="73"/>
      <c r="AF55" s="73"/>
      <c r="AG55" s="73"/>
      <c r="AH55" s="74"/>
    </row>
    <row r="56">
      <c r="A56" s="101">
        <v>60.0</v>
      </c>
      <c r="B56" s="122" t="s">
        <v>287</v>
      </c>
      <c r="C56" s="9" t="s">
        <v>185</v>
      </c>
      <c r="D56" s="10" t="b">
        <v>0</v>
      </c>
      <c r="E56" s="9" t="b">
        <v>0</v>
      </c>
      <c r="F56" s="9"/>
      <c r="G56" s="12"/>
      <c r="H56" s="12"/>
      <c r="I56" s="12"/>
      <c r="J56" s="12"/>
      <c r="K56" s="12"/>
      <c r="L56" s="13" t="s">
        <v>36</v>
      </c>
      <c r="M56" s="13" t="s">
        <v>53</v>
      </c>
      <c r="N56" s="10" t="b">
        <v>1</v>
      </c>
      <c r="O56" s="14">
        <v>1.5619010076E10</v>
      </c>
      <c r="P56" s="15" t="s">
        <v>288</v>
      </c>
      <c r="Q56" s="15" t="s">
        <v>289</v>
      </c>
      <c r="R56" s="15" t="s">
        <v>40</v>
      </c>
      <c r="S56" s="82"/>
      <c r="T56" s="67"/>
      <c r="U56" s="68"/>
      <c r="V56" s="68"/>
      <c r="W56" s="68"/>
      <c r="X56" s="68"/>
      <c r="Y56" s="68"/>
      <c r="Z56" s="68"/>
      <c r="AA56" s="68"/>
      <c r="AB56" s="68"/>
      <c r="AC56" s="68"/>
      <c r="AD56" s="68"/>
      <c r="AE56" s="68"/>
      <c r="AF56" s="68"/>
      <c r="AG56" s="68"/>
      <c r="AH56" s="69"/>
    </row>
    <row r="57">
      <c r="A57" s="19">
        <v>61.0</v>
      </c>
      <c r="B57" s="70" t="s">
        <v>290</v>
      </c>
      <c r="C57" s="21" t="s">
        <v>162</v>
      </c>
      <c r="D57" s="22" t="b">
        <v>1</v>
      </c>
      <c r="E57" s="21" t="b">
        <v>0</v>
      </c>
      <c r="F57" s="21"/>
      <c r="G57" s="23"/>
      <c r="H57" s="23"/>
      <c r="I57" s="23"/>
      <c r="J57" s="23"/>
      <c r="K57" s="23"/>
      <c r="L57" s="24" t="s">
        <v>60</v>
      </c>
      <c r="M57" s="24" t="s">
        <v>37</v>
      </c>
      <c r="N57" s="22" t="b">
        <v>0</v>
      </c>
      <c r="O57" s="25">
        <v>1.5164246465E10</v>
      </c>
      <c r="P57" s="26" t="s">
        <v>291</v>
      </c>
      <c r="Q57" s="26" t="s">
        <v>292</v>
      </c>
      <c r="R57" s="26" t="s">
        <v>105</v>
      </c>
      <c r="S57" s="71" t="s">
        <v>293</v>
      </c>
      <c r="T57" s="26" t="s">
        <v>294</v>
      </c>
      <c r="U57" s="80"/>
      <c r="V57" s="80"/>
      <c r="W57" s="80"/>
      <c r="X57" s="80"/>
      <c r="Y57" s="80"/>
      <c r="Z57" s="80"/>
      <c r="AA57" s="80"/>
      <c r="AB57" s="80"/>
      <c r="AC57" s="80"/>
      <c r="AD57" s="80"/>
      <c r="AE57" s="80"/>
      <c r="AF57" s="80"/>
      <c r="AG57" s="80"/>
      <c r="AH57" s="81"/>
    </row>
    <row r="58">
      <c r="A58" s="31">
        <v>62.0</v>
      </c>
      <c r="B58" s="123" t="s">
        <v>295</v>
      </c>
      <c r="C58" s="9" t="s">
        <v>162</v>
      </c>
      <c r="D58" s="10" t="b">
        <v>0</v>
      </c>
      <c r="E58" s="9" t="b">
        <v>0</v>
      </c>
      <c r="F58" s="9"/>
      <c r="G58" s="12"/>
      <c r="H58" s="12"/>
      <c r="I58" s="12"/>
      <c r="J58" s="12"/>
      <c r="K58" s="12"/>
      <c r="L58" s="13" t="s">
        <v>36</v>
      </c>
      <c r="M58" s="13" t="s">
        <v>37</v>
      </c>
      <c r="N58" s="10" t="b">
        <v>0</v>
      </c>
      <c r="O58" s="14">
        <v>3.057945501E9</v>
      </c>
      <c r="P58" s="16" t="s">
        <v>296</v>
      </c>
      <c r="Q58" s="16" t="s">
        <v>190</v>
      </c>
      <c r="R58" s="90" t="s">
        <v>40</v>
      </c>
      <c r="S58" s="82"/>
      <c r="T58" s="15" t="s">
        <v>297</v>
      </c>
      <c r="U58" s="77"/>
      <c r="V58" s="77"/>
      <c r="W58" s="77"/>
      <c r="X58" s="77"/>
      <c r="Y58" s="77"/>
      <c r="Z58" s="77"/>
      <c r="AA58" s="77"/>
      <c r="AB58" s="77"/>
      <c r="AC58" s="77"/>
      <c r="AD58" s="77"/>
      <c r="AE58" s="77"/>
      <c r="AF58" s="77"/>
      <c r="AG58" s="77"/>
      <c r="AH58" s="78"/>
    </row>
    <row r="59">
      <c r="A59" s="64">
        <v>63.0</v>
      </c>
      <c r="B59" s="96" t="s">
        <v>298</v>
      </c>
      <c r="C59" s="21" t="s">
        <v>162</v>
      </c>
      <c r="D59" s="22" t="b">
        <v>1</v>
      </c>
      <c r="E59" s="21" t="b">
        <v>0</v>
      </c>
      <c r="F59" s="21"/>
      <c r="G59" s="24">
        <v>1.0</v>
      </c>
      <c r="H59" s="24" t="s">
        <v>143</v>
      </c>
      <c r="I59" s="24">
        <v>3.0</v>
      </c>
      <c r="J59" s="24">
        <v>4.0</v>
      </c>
      <c r="K59" s="24" t="s">
        <v>172</v>
      </c>
      <c r="L59" s="24" t="s">
        <v>36</v>
      </c>
      <c r="M59" s="24" t="s">
        <v>37</v>
      </c>
      <c r="N59" s="22" t="b">
        <v>0</v>
      </c>
      <c r="O59" s="25">
        <v>6.175133365E9</v>
      </c>
      <c r="P59" s="26" t="s">
        <v>299</v>
      </c>
      <c r="Q59" s="26" t="s">
        <v>300</v>
      </c>
      <c r="R59" s="26" t="s">
        <v>301</v>
      </c>
      <c r="S59" s="28" t="s">
        <v>302</v>
      </c>
      <c r="T59" s="28" t="s">
        <v>303</v>
      </c>
      <c r="U59" s="29"/>
      <c r="V59" s="29"/>
      <c r="W59" s="29"/>
      <c r="X59" s="29"/>
      <c r="Y59" s="29"/>
      <c r="Z59" s="29"/>
      <c r="AA59" s="29"/>
      <c r="AB59" s="29"/>
      <c r="AC59" s="29"/>
      <c r="AD59" s="29"/>
      <c r="AE59" s="29"/>
      <c r="AF59" s="29"/>
      <c r="AG59" s="29"/>
      <c r="AH59" s="30"/>
    </row>
    <row r="60">
      <c r="A60" s="7">
        <v>64.0</v>
      </c>
      <c r="B60" s="15" t="s">
        <v>304</v>
      </c>
      <c r="C60" s="9" t="s">
        <v>162</v>
      </c>
      <c r="D60" s="10" t="b">
        <v>0</v>
      </c>
      <c r="E60" s="9" t="b">
        <v>0</v>
      </c>
      <c r="F60" s="9"/>
      <c r="G60" s="12"/>
      <c r="H60" s="12"/>
      <c r="I60" s="12"/>
      <c r="J60" s="12"/>
      <c r="K60" s="12"/>
      <c r="L60" s="13" t="s">
        <v>60</v>
      </c>
      <c r="M60" s="13" t="s">
        <v>53</v>
      </c>
      <c r="N60" s="10" t="b">
        <v>1</v>
      </c>
      <c r="O60" s="14">
        <v>1.4694002838E10</v>
      </c>
      <c r="P60" s="15" t="s">
        <v>305</v>
      </c>
      <c r="Q60" s="15" t="s">
        <v>115</v>
      </c>
      <c r="R60" s="15" t="s">
        <v>63</v>
      </c>
      <c r="S60" s="82"/>
      <c r="T60" s="67"/>
      <c r="U60" s="68"/>
      <c r="V60" s="68"/>
      <c r="W60" s="68"/>
      <c r="X60" s="68"/>
      <c r="Y60" s="68"/>
      <c r="Z60" s="68"/>
      <c r="AA60" s="68"/>
      <c r="AB60" s="68"/>
      <c r="AC60" s="68"/>
      <c r="AD60" s="68"/>
      <c r="AE60" s="68"/>
      <c r="AF60" s="68"/>
      <c r="AG60" s="68"/>
      <c r="AH60" s="69"/>
    </row>
    <row r="61">
      <c r="A61" s="124">
        <v>65.0</v>
      </c>
      <c r="B61" s="125" t="s">
        <v>306</v>
      </c>
      <c r="C61" s="21" t="s">
        <v>162</v>
      </c>
      <c r="D61" s="22" t="b">
        <v>0</v>
      </c>
      <c r="E61" s="21" t="b">
        <v>0</v>
      </c>
      <c r="F61" s="21"/>
      <c r="G61" s="24">
        <v>2.0</v>
      </c>
      <c r="H61" s="24" t="s">
        <v>143</v>
      </c>
      <c r="I61" s="24">
        <v>4.0</v>
      </c>
      <c r="J61" s="24">
        <v>2.0</v>
      </c>
      <c r="K61" s="24"/>
      <c r="L61" s="24" t="s">
        <v>60</v>
      </c>
      <c r="M61" s="24" t="s">
        <v>37</v>
      </c>
      <c r="N61" s="22" t="b">
        <v>0</v>
      </c>
      <c r="O61" s="25">
        <v>1.2165334908E10</v>
      </c>
      <c r="P61" s="26" t="s">
        <v>307</v>
      </c>
      <c r="Q61" s="26" t="s">
        <v>308</v>
      </c>
      <c r="R61" s="26" t="s">
        <v>109</v>
      </c>
      <c r="S61" s="79"/>
      <c r="T61" s="72"/>
      <c r="U61" s="73"/>
      <c r="V61" s="73"/>
      <c r="W61" s="73"/>
      <c r="X61" s="73"/>
      <c r="Y61" s="73"/>
      <c r="Z61" s="73"/>
      <c r="AA61" s="73"/>
      <c r="AB61" s="73"/>
      <c r="AC61" s="73"/>
      <c r="AD61" s="73"/>
      <c r="AE61" s="73"/>
      <c r="AF61" s="73"/>
      <c r="AG61" s="73"/>
      <c r="AH61" s="74"/>
    </row>
    <row r="62">
      <c r="A62" s="31">
        <v>66.0</v>
      </c>
      <c r="B62" s="15" t="s">
        <v>309</v>
      </c>
      <c r="C62" s="9" t="s">
        <v>162</v>
      </c>
      <c r="D62" s="10" t="b">
        <v>0</v>
      </c>
      <c r="E62" s="9" t="b">
        <v>0</v>
      </c>
      <c r="F62" s="9"/>
      <c r="G62" s="12"/>
      <c r="H62" s="12"/>
      <c r="I62" s="12"/>
      <c r="J62" s="12"/>
      <c r="K62" s="12"/>
      <c r="L62" s="13" t="s">
        <v>60</v>
      </c>
      <c r="M62" s="13" t="s">
        <v>37</v>
      </c>
      <c r="N62" s="10" t="b">
        <v>0</v>
      </c>
      <c r="O62" s="126">
        <v>1.4692237479E10</v>
      </c>
      <c r="P62" s="127" t="s">
        <v>310</v>
      </c>
      <c r="Q62" s="15" t="s">
        <v>115</v>
      </c>
      <c r="R62" s="15" t="s">
        <v>63</v>
      </c>
      <c r="S62" s="82"/>
      <c r="T62" s="67"/>
      <c r="U62" s="68"/>
      <c r="V62" s="68"/>
      <c r="W62" s="68"/>
      <c r="X62" s="68"/>
      <c r="Y62" s="68"/>
      <c r="Z62" s="68"/>
      <c r="AA62" s="68"/>
      <c r="AB62" s="68"/>
      <c r="AC62" s="68"/>
      <c r="AD62" s="68"/>
      <c r="AE62" s="68"/>
      <c r="AF62" s="68"/>
      <c r="AG62" s="68"/>
      <c r="AH62" s="69"/>
    </row>
    <row r="63">
      <c r="A63" s="64">
        <v>67.0</v>
      </c>
      <c r="B63" s="96" t="s">
        <v>311</v>
      </c>
      <c r="C63" s="21" t="s">
        <v>185</v>
      </c>
      <c r="D63" s="22" t="b">
        <v>0</v>
      </c>
      <c r="E63" s="21" t="b">
        <v>0</v>
      </c>
      <c r="F63" s="21"/>
      <c r="G63" s="23"/>
      <c r="H63" s="23"/>
      <c r="I63" s="23"/>
      <c r="J63" s="23"/>
      <c r="K63" s="23"/>
      <c r="L63" s="24" t="s">
        <v>36</v>
      </c>
      <c r="M63" s="24" t="s">
        <v>37</v>
      </c>
      <c r="N63" s="22" t="b">
        <v>0</v>
      </c>
      <c r="O63" s="25">
        <v>7.735122029E9</v>
      </c>
      <c r="P63" s="26" t="s">
        <v>312</v>
      </c>
      <c r="Q63" s="26" t="s">
        <v>313</v>
      </c>
      <c r="R63" s="26" t="s">
        <v>314</v>
      </c>
      <c r="S63" s="86" t="s">
        <v>315</v>
      </c>
      <c r="T63" s="86" t="s">
        <v>316</v>
      </c>
      <c r="U63" s="87"/>
      <c r="V63" s="87"/>
      <c r="W63" s="87"/>
      <c r="X63" s="87"/>
      <c r="Y63" s="87"/>
      <c r="Z63" s="87"/>
      <c r="AA63" s="87"/>
      <c r="AB63" s="87"/>
      <c r="AC63" s="87"/>
      <c r="AD63" s="87"/>
      <c r="AE63" s="87"/>
      <c r="AF63" s="87"/>
      <c r="AG63" s="87"/>
      <c r="AH63" s="88"/>
    </row>
    <row r="64">
      <c r="A64" s="7">
        <v>68.0</v>
      </c>
      <c r="B64" s="70" t="s">
        <v>317</v>
      </c>
      <c r="C64" s="9" t="s">
        <v>162</v>
      </c>
      <c r="D64" s="10" t="b">
        <v>0</v>
      </c>
      <c r="E64" s="9" t="b">
        <v>0</v>
      </c>
      <c r="F64" s="9"/>
      <c r="G64" s="12"/>
      <c r="H64" s="12"/>
      <c r="I64" s="12"/>
      <c r="J64" s="12"/>
      <c r="K64" s="12"/>
      <c r="L64" s="13" t="s">
        <v>60</v>
      </c>
      <c r="M64" s="13" t="s">
        <v>53</v>
      </c>
      <c r="N64" s="10" t="b">
        <v>1</v>
      </c>
      <c r="O64" s="14">
        <v>1.5166108393E10</v>
      </c>
      <c r="P64" s="15" t="s">
        <v>318</v>
      </c>
      <c r="Q64" s="15" t="s">
        <v>319</v>
      </c>
      <c r="R64" s="15" t="s">
        <v>77</v>
      </c>
      <c r="S64" s="82"/>
      <c r="T64" s="67"/>
      <c r="U64" s="68"/>
      <c r="V64" s="68"/>
      <c r="W64" s="68"/>
      <c r="X64" s="68"/>
      <c r="Y64" s="68"/>
      <c r="Z64" s="68"/>
      <c r="AA64" s="68"/>
      <c r="AB64" s="68"/>
      <c r="AC64" s="68"/>
      <c r="AD64" s="68"/>
      <c r="AE64" s="68"/>
      <c r="AF64" s="68"/>
      <c r="AG64" s="68"/>
      <c r="AH64" s="69"/>
    </row>
    <row r="65">
      <c r="A65" s="19">
        <v>69.0</v>
      </c>
      <c r="B65" s="96" t="s">
        <v>320</v>
      </c>
      <c r="C65" s="21" t="s">
        <v>185</v>
      </c>
      <c r="D65" s="22" t="b">
        <v>0</v>
      </c>
      <c r="E65" s="21" t="b">
        <v>0</v>
      </c>
      <c r="F65" s="21"/>
      <c r="G65" s="23"/>
      <c r="H65" s="23"/>
      <c r="I65" s="23"/>
      <c r="J65" s="23"/>
      <c r="K65" s="23"/>
      <c r="L65" s="24" t="s">
        <v>36</v>
      </c>
      <c r="M65" s="24" t="s">
        <v>37</v>
      </c>
      <c r="N65" s="22" t="b">
        <v>0</v>
      </c>
      <c r="O65" s="25">
        <v>1.8454997713E10</v>
      </c>
      <c r="P65" s="26" t="s">
        <v>321</v>
      </c>
      <c r="Q65" s="26" t="s">
        <v>322</v>
      </c>
      <c r="R65" s="26" t="s">
        <v>77</v>
      </c>
      <c r="S65" s="79"/>
      <c r="T65" s="72"/>
      <c r="U65" s="73"/>
      <c r="V65" s="73"/>
      <c r="W65" s="73"/>
      <c r="X65" s="73"/>
      <c r="Y65" s="73"/>
      <c r="Z65" s="73"/>
      <c r="AA65" s="73"/>
      <c r="AB65" s="73"/>
      <c r="AC65" s="73"/>
      <c r="AD65" s="73"/>
      <c r="AE65" s="73"/>
      <c r="AF65" s="73"/>
      <c r="AG65" s="73"/>
      <c r="AH65" s="74"/>
    </row>
    <row r="66">
      <c r="A66" s="75">
        <v>70.0</v>
      </c>
      <c r="B66" s="128" t="s">
        <v>323</v>
      </c>
      <c r="C66" s="9" t="s">
        <v>162</v>
      </c>
      <c r="D66" s="10" t="b">
        <v>1</v>
      </c>
      <c r="E66" s="9" t="b">
        <v>0</v>
      </c>
      <c r="F66" s="9"/>
      <c r="G66" s="12"/>
      <c r="H66" s="12"/>
      <c r="I66" s="12"/>
      <c r="J66" s="12"/>
      <c r="K66" s="12"/>
      <c r="L66" s="13" t="s">
        <v>60</v>
      </c>
      <c r="M66" s="13" t="s">
        <v>37</v>
      </c>
      <c r="N66" s="10" t="b">
        <v>0</v>
      </c>
      <c r="O66" s="14">
        <v>3.105954269E9</v>
      </c>
      <c r="P66" s="15" t="s">
        <v>324</v>
      </c>
      <c r="Q66" s="15" t="s">
        <v>250</v>
      </c>
      <c r="R66" s="15" t="s">
        <v>194</v>
      </c>
      <c r="S66" s="89" t="s">
        <v>325</v>
      </c>
      <c r="T66" s="90" t="s">
        <v>326</v>
      </c>
      <c r="U66" s="91"/>
      <c r="V66" s="91"/>
      <c r="W66" s="91"/>
      <c r="X66" s="91"/>
      <c r="Y66" s="91"/>
      <c r="Z66" s="91"/>
      <c r="AA66" s="91"/>
      <c r="AB66" s="91"/>
      <c r="AC66" s="91"/>
      <c r="AD66" s="91"/>
      <c r="AE66" s="91"/>
      <c r="AF66" s="91"/>
      <c r="AG66" s="91"/>
      <c r="AH66" s="92"/>
    </row>
    <row r="67">
      <c r="A67" s="64">
        <v>71.0</v>
      </c>
      <c r="B67" s="70" t="s">
        <v>327</v>
      </c>
      <c r="C67" s="21" t="s">
        <v>162</v>
      </c>
      <c r="D67" s="22" t="b">
        <v>0</v>
      </c>
      <c r="E67" s="21" t="b">
        <v>0</v>
      </c>
      <c r="F67" s="21"/>
      <c r="G67" s="23"/>
      <c r="H67" s="23"/>
      <c r="I67" s="23"/>
      <c r="J67" s="23"/>
      <c r="K67" s="23"/>
      <c r="L67" s="24" t="s">
        <v>60</v>
      </c>
      <c r="M67" s="24" t="s">
        <v>37</v>
      </c>
      <c r="N67" s="22" t="b">
        <v>0</v>
      </c>
      <c r="O67" s="25">
        <v>1.91759737E10</v>
      </c>
      <c r="P67" s="26" t="s">
        <v>328</v>
      </c>
      <c r="Q67" s="26" t="s">
        <v>329</v>
      </c>
      <c r="R67" s="26" t="s">
        <v>77</v>
      </c>
      <c r="S67" s="71" t="s">
        <v>330</v>
      </c>
      <c r="T67" s="72"/>
      <c r="U67" s="73"/>
      <c r="V67" s="73"/>
      <c r="W67" s="73"/>
      <c r="X67" s="73"/>
      <c r="Y67" s="73"/>
      <c r="Z67" s="73"/>
      <c r="AA67" s="73"/>
      <c r="AB67" s="73"/>
      <c r="AC67" s="73"/>
      <c r="AD67" s="73"/>
      <c r="AE67" s="73"/>
      <c r="AF67" s="73"/>
      <c r="AG67" s="73"/>
      <c r="AH67" s="74"/>
    </row>
    <row r="68">
      <c r="A68" s="31">
        <v>72.0</v>
      </c>
      <c r="B68" s="119" t="s">
        <v>331</v>
      </c>
      <c r="C68" s="9" t="s">
        <v>162</v>
      </c>
      <c r="D68" s="10" t="b">
        <v>0</v>
      </c>
      <c r="E68" s="9" t="b">
        <v>0</v>
      </c>
      <c r="F68" s="9"/>
      <c r="G68" s="13">
        <v>3.0</v>
      </c>
      <c r="H68" s="13">
        <v>3.0</v>
      </c>
      <c r="I68" s="13">
        <v>4.0</v>
      </c>
      <c r="J68" s="13">
        <v>2.0</v>
      </c>
      <c r="K68" s="13" t="s">
        <v>172</v>
      </c>
      <c r="L68" s="13" t="s">
        <v>36</v>
      </c>
      <c r="M68" s="13" t="s">
        <v>53</v>
      </c>
      <c r="N68" s="10" t="b">
        <v>1</v>
      </c>
      <c r="O68" s="14">
        <v>1.3107296464E10</v>
      </c>
      <c r="P68" s="15" t="s">
        <v>332</v>
      </c>
      <c r="Q68" s="15" t="s">
        <v>250</v>
      </c>
      <c r="R68" s="15" t="s">
        <v>194</v>
      </c>
      <c r="S68" s="82"/>
      <c r="T68" s="15" t="s">
        <v>333</v>
      </c>
      <c r="U68" s="77"/>
      <c r="V68" s="77"/>
      <c r="W68" s="77"/>
      <c r="X68" s="77"/>
      <c r="Y68" s="77"/>
      <c r="Z68" s="77"/>
      <c r="AA68" s="77"/>
      <c r="AB68" s="77"/>
      <c r="AC68" s="77"/>
      <c r="AD68" s="77"/>
      <c r="AE68" s="77"/>
      <c r="AF68" s="77"/>
      <c r="AG68" s="77"/>
      <c r="AH68" s="78"/>
    </row>
    <row r="69">
      <c r="A69" s="19">
        <v>73.0</v>
      </c>
      <c r="B69" s="129" t="s">
        <v>334</v>
      </c>
      <c r="C69" s="21" t="s">
        <v>162</v>
      </c>
      <c r="D69" s="22" t="b">
        <v>0</v>
      </c>
      <c r="E69" s="21" t="b">
        <v>0</v>
      </c>
      <c r="F69" s="21"/>
      <c r="G69" s="24" t="s">
        <v>143</v>
      </c>
      <c r="H69" s="24" t="s">
        <v>143</v>
      </c>
      <c r="I69" s="24">
        <v>2.0</v>
      </c>
      <c r="J69" s="24" t="s">
        <v>143</v>
      </c>
      <c r="K69" s="24" t="s">
        <v>144</v>
      </c>
      <c r="L69" s="24" t="s">
        <v>36</v>
      </c>
      <c r="M69" s="24" t="s">
        <v>37</v>
      </c>
      <c r="N69" s="22" t="b">
        <v>0</v>
      </c>
      <c r="O69" s="94">
        <v>7.733989585E9</v>
      </c>
      <c r="P69" s="26" t="s">
        <v>335</v>
      </c>
      <c r="Q69" s="86" t="s">
        <v>313</v>
      </c>
      <c r="R69" s="86" t="s">
        <v>314</v>
      </c>
      <c r="S69" s="71" t="s">
        <v>336</v>
      </c>
      <c r="T69" s="26" t="s">
        <v>337</v>
      </c>
      <c r="U69" s="80"/>
      <c r="V69" s="80"/>
      <c r="W69" s="80"/>
      <c r="X69" s="80"/>
      <c r="Y69" s="80"/>
      <c r="Z69" s="80"/>
      <c r="AA69" s="80"/>
      <c r="AB69" s="80"/>
      <c r="AC69" s="80"/>
      <c r="AD69" s="80"/>
      <c r="AE69" s="80"/>
      <c r="AF69" s="80"/>
      <c r="AG69" s="80"/>
      <c r="AH69" s="81"/>
    </row>
    <row r="70">
      <c r="A70" s="31">
        <v>74.0</v>
      </c>
      <c r="B70" s="70" t="s">
        <v>338</v>
      </c>
      <c r="C70" s="9" t="s">
        <v>185</v>
      </c>
      <c r="D70" s="10" t="b">
        <v>0</v>
      </c>
      <c r="E70" s="9" t="b">
        <v>0</v>
      </c>
      <c r="F70" s="9"/>
      <c r="G70" s="12"/>
      <c r="H70" s="12"/>
      <c r="I70" s="12"/>
      <c r="J70" s="12"/>
      <c r="K70" s="12"/>
      <c r="L70" s="13" t="s">
        <v>60</v>
      </c>
      <c r="M70" s="13" t="s">
        <v>37</v>
      </c>
      <c r="N70" s="10" t="b">
        <v>0</v>
      </c>
      <c r="O70" s="14">
        <v>1.9546007815E10</v>
      </c>
      <c r="P70" s="15" t="s">
        <v>339</v>
      </c>
      <c r="Q70" s="15" t="s">
        <v>340</v>
      </c>
      <c r="R70" s="15" t="s">
        <v>40</v>
      </c>
      <c r="S70" s="82"/>
      <c r="T70" s="67"/>
      <c r="U70" s="68"/>
      <c r="V70" s="68"/>
      <c r="W70" s="68"/>
      <c r="X70" s="68"/>
      <c r="Y70" s="68"/>
      <c r="Z70" s="68"/>
      <c r="AA70" s="68"/>
      <c r="AB70" s="68"/>
      <c r="AC70" s="68"/>
      <c r="AD70" s="68"/>
      <c r="AE70" s="68"/>
      <c r="AF70" s="68"/>
      <c r="AG70" s="68"/>
      <c r="AH70" s="69"/>
    </row>
    <row r="71">
      <c r="A71" s="83">
        <v>75.0</v>
      </c>
      <c r="B71" s="130" t="s">
        <v>341</v>
      </c>
      <c r="C71" s="21" t="s">
        <v>162</v>
      </c>
      <c r="D71" s="22" t="b">
        <v>0</v>
      </c>
      <c r="E71" s="21" t="b">
        <v>0</v>
      </c>
      <c r="F71" s="21"/>
      <c r="G71" s="23"/>
      <c r="H71" s="23"/>
      <c r="I71" s="23"/>
      <c r="J71" s="23"/>
      <c r="K71" s="23"/>
      <c r="L71" s="24" t="s">
        <v>60</v>
      </c>
      <c r="M71" s="24" t="s">
        <v>37</v>
      </c>
      <c r="N71" s="22" t="b">
        <v>0</v>
      </c>
      <c r="O71" s="25">
        <v>8.18321301E9</v>
      </c>
      <c r="P71" s="26" t="s">
        <v>342</v>
      </c>
      <c r="Q71" s="26" t="s">
        <v>343</v>
      </c>
      <c r="R71" s="26" t="s">
        <v>194</v>
      </c>
      <c r="S71" s="28" t="s">
        <v>344</v>
      </c>
      <c r="T71" s="28" t="s">
        <v>345</v>
      </c>
      <c r="U71" s="29"/>
      <c r="V71" s="29"/>
      <c r="W71" s="29"/>
      <c r="X71" s="29"/>
      <c r="Y71" s="29"/>
      <c r="Z71" s="29"/>
      <c r="AA71" s="29"/>
      <c r="AB71" s="29"/>
      <c r="AC71" s="29"/>
      <c r="AD71" s="29"/>
      <c r="AE71" s="29"/>
      <c r="AF71" s="29"/>
      <c r="AG71" s="29"/>
      <c r="AH71" s="30"/>
    </row>
    <row r="72">
      <c r="A72" s="31">
        <v>77.0</v>
      </c>
      <c r="B72" s="9" t="s">
        <v>346</v>
      </c>
      <c r="C72" s="9" t="s">
        <v>162</v>
      </c>
      <c r="D72" s="10" t="b">
        <v>1</v>
      </c>
      <c r="E72" s="9" t="b">
        <v>0</v>
      </c>
      <c r="F72" s="9"/>
      <c r="G72" s="12"/>
      <c r="H72" s="12"/>
      <c r="I72" s="12"/>
      <c r="J72" s="12"/>
      <c r="K72" s="12"/>
      <c r="L72" s="13" t="s">
        <v>60</v>
      </c>
      <c r="M72" s="13" t="s">
        <v>37</v>
      </c>
      <c r="N72" s="10" t="b">
        <v>0</v>
      </c>
      <c r="O72" s="14">
        <v>9.172703166E9</v>
      </c>
      <c r="P72" s="15" t="s">
        <v>347</v>
      </c>
      <c r="Q72" s="15" t="s">
        <v>76</v>
      </c>
      <c r="R72" s="15" t="s">
        <v>77</v>
      </c>
      <c r="S72" s="82"/>
      <c r="T72" s="15" t="s">
        <v>348</v>
      </c>
      <c r="U72" s="77"/>
      <c r="V72" s="77"/>
      <c r="W72" s="77"/>
      <c r="X72" s="77"/>
      <c r="Y72" s="77"/>
      <c r="Z72" s="77"/>
      <c r="AA72" s="77"/>
      <c r="AB72" s="77"/>
      <c r="AC72" s="77"/>
      <c r="AD72" s="77"/>
      <c r="AE72" s="77"/>
      <c r="AF72" s="77"/>
      <c r="AG72" s="77"/>
      <c r="AH72" s="78"/>
    </row>
    <row r="73">
      <c r="A73" s="19">
        <v>78.0</v>
      </c>
      <c r="B73" s="26" t="s">
        <v>349</v>
      </c>
      <c r="C73" s="21" t="s">
        <v>185</v>
      </c>
      <c r="D73" s="22" t="b">
        <v>0</v>
      </c>
      <c r="E73" s="21" t="b">
        <v>0</v>
      </c>
      <c r="F73" s="21"/>
      <c r="G73" s="23"/>
      <c r="H73" s="23"/>
      <c r="I73" s="23"/>
      <c r="J73" s="23"/>
      <c r="K73" s="23"/>
      <c r="L73" s="24" t="s">
        <v>36</v>
      </c>
      <c r="M73" s="24" t="s">
        <v>37</v>
      </c>
      <c r="N73" s="22" t="b">
        <v>0</v>
      </c>
      <c r="O73" s="25">
        <v>1.6149756103E10</v>
      </c>
      <c r="P73" s="26" t="s">
        <v>350</v>
      </c>
      <c r="Q73" s="26" t="s">
        <v>190</v>
      </c>
      <c r="R73" s="26" t="s">
        <v>40</v>
      </c>
      <c r="S73" s="79"/>
      <c r="T73" s="72"/>
      <c r="U73" s="73"/>
      <c r="V73" s="73"/>
      <c r="W73" s="73"/>
      <c r="X73" s="73"/>
      <c r="Y73" s="73"/>
      <c r="Z73" s="73"/>
      <c r="AA73" s="73"/>
      <c r="AB73" s="73"/>
      <c r="AC73" s="73"/>
      <c r="AD73" s="73"/>
      <c r="AE73" s="73"/>
      <c r="AF73" s="73"/>
      <c r="AG73" s="73"/>
      <c r="AH73" s="74"/>
    </row>
    <row r="74">
      <c r="A74" s="31">
        <v>79.0</v>
      </c>
      <c r="B74" s="107" t="s">
        <v>351</v>
      </c>
      <c r="C74" s="9" t="s">
        <v>162</v>
      </c>
      <c r="D74" s="10" t="b">
        <v>0</v>
      </c>
      <c r="E74" s="9" t="b">
        <v>0</v>
      </c>
      <c r="F74" s="9"/>
      <c r="G74" s="12"/>
      <c r="H74" s="12"/>
      <c r="I74" s="12"/>
      <c r="J74" s="12"/>
      <c r="K74" s="12"/>
      <c r="L74" s="131" t="s">
        <v>60</v>
      </c>
      <c r="M74" s="131" t="s">
        <v>37</v>
      </c>
      <c r="N74" s="132" t="b">
        <v>0</v>
      </c>
      <c r="O74" s="133">
        <v>1.4692237479E10</v>
      </c>
      <c r="P74" s="134" t="s">
        <v>310</v>
      </c>
      <c r="Q74" s="107" t="s">
        <v>83</v>
      </c>
      <c r="R74" s="107" t="s">
        <v>84</v>
      </c>
      <c r="S74" s="135"/>
      <c r="T74" s="135"/>
      <c r="U74" s="136"/>
      <c r="V74" s="136"/>
      <c r="W74" s="136"/>
      <c r="X74" s="136"/>
      <c r="Y74" s="136"/>
      <c r="Z74" s="136"/>
      <c r="AA74" s="136"/>
      <c r="AB74" s="136"/>
      <c r="AC74" s="136"/>
      <c r="AD74" s="136"/>
      <c r="AE74" s="136"/>
      <c r="AF74" s="136"/>
      <c r="AG74" s="136"/>
      <c r="AH74" s="137"/>
    </row>
    <row r="75">
      <c r="A75" s="83">
        <v>80.0</v>
      </c>
      <c r="B75" s="99" t="s">
        <v>352</v>
      </c>
      <c r="C75" s="21" t="s">
        <v>185</v>
      </c>
      <c r="D75" s="22" t="b">
        <v>0</v>
      </c>
      <c r="E75" s="21" t="b">
        <v>0</v>
      </c>
      <c r="F75" s="21"/>
      <c r="G75" s="23"/>
      <c r="H75" s="23"/>
      <c r="I75" s="23"/>
      <c r="J75" s="23"/>
      <c r="K75" s="23"/>
      <c r="L75" s="24" t="s">
        <v>36</v>
      </c>
      <c r="M75" s="24" t="s">
        <v>53</v>
      </c>
      <c r="N75" s="22" t="b">
        <v>1</v>
      </c>
      <c r="O75" s="25">
        <v>1.4156010152E10</v>
      </c>
      <c r="P75" s="26" t="s">
        <v>353</v>
      </c>
      <c r="Q75" s="26" t="s">
        <v>354</v>
      </c>
      <c r="R75" s="26" t="s">
        <v>301</v>
      </c>
      <c r="S75" s="79"/>
      <c r="T75" s="72"/>
      <c r="U75" s="73"/>
      <c r="V75" s="73"/>
      <c r="W75" s="73"/>
      <c r="X75" s="73"/>
      <c r="Y75" s="73"/>
      <c r="Z75" s="73"/>
      <c r="AA75" s="73"/>
      <c r="AB75" s="73"/>
      <c r="AC75" s="73"/>
      <c r="AD75" s="73"/>
      <c r="AE75" s="73"/>
      <c r="AF75" s="73"/>
      <c r="AG75" s="73"/>
      <c r="AH75" s="74"/>
    </row>
    <row r="76">
      <c r="A76" s="7">
        <v>81.0</v>
      </c>
      <c r="B76" s="123" t="s">
        <v>355</v>
      </c>
      <c r="C76" s="9" t="s">
        <v>162</v>
      </c>
      <c r="D76" s="10" t="b">
        <v>0</v>
      </c>
      <c r="E76" s="9" t="b">
        <v>0</v>
      </c>
      <c r="F76" s="9"/>
      <c r="G76" s="13">
        <v>4.0</v>
      </c>
      <c r="H76" s="13">
        <v>4.0</v>
      </c>
      <c r="I76" s="13">
        <v>4.0</v>
      </c>
      <c r="J76" s="13">
        <v>1.0</v>
      </c>
      <c r="K76" s="12"/>
      <c r="L76" s="13" t="s">
        <v>36</v>
      </c>
      <c r="M76" s="13" t="s">
        <v>37</v>
      </c>
      <c r="N76" s="10" t="b">
        <v>0</v>
      </c>
      <c r="O76" s="33">
        <v>3.12890769E9</v>
      </c>
      <c r="P76" s="15" t="s">
        <v>356</v>
      </c>
      <c r="Q76" s="16" t="s">
        <v>213</v>
      </c>
      <c r="R76" s="16" t="s">
        <v>40</v>
      </c>
      <c r="S76" s="34" t="s">
        <v>357</v>
      </c>
      <c r="T76" s="67"/>
      <c r="U76" s="68"/>
      <c r="V76" s="68"/>
      <c r="W76" s="68"/>
      <c r="X76" s="68"/>
      <c r="Y76" s="68"/>
      <c r="Z76" s="68"/>
      <c r="AA76" s="68"/>
      <c r="AB76" s="68"/>
      <c r="AC76" s="68"/>
      <c r="AD76" s="68"/>
      <c r="AE76" s="68"/>
      <c r="AF76" s="68"/>
      <c r="AG76" s="68"/>
      <c r="AH76" s="69"/>
    </row>
    <row r="77">
      <c r="A77" s="64">
        <v>82.0</v>
      </c>
      <c r="B77" s="26" t="s">
        <v>358</v>
      </c>
      <c r="C77" s="21" t="s">
        <v>162</v>
      </c>
      <c r="D77" s="22" t="b">
        <v>0</v>
      </c>
      <c r="E77" s="21" t="b">
        <v>0</v>
      </c>
      <c r="F77" s="21"/>
      <c r="G77" s="23"/>
      <c r="H77" s="23"/>
      <c r="I77" s="23"/>
      <c r="J77" s="23"/>
      <c r="K77" s="23"/>
      <c r="L77" s="24" t="s">
        <v>36</v>
      </c>
      <c r="M77" s="24" t="s">
        <v>37</v>
      </c>
      <c r="N77" s="22" t="b">
        <v>0</v>
      </c>
      <c r="O77" s="25">
        <v>1.2032233407E10</v>
      </c>
      <c r="P77" s="26" t="s">
        <v>359</v>
      </c>
      <c r="Q77" s="26" t="s">
        <v>360</v>
      </c>
      <c r="R77" s="26" t="s">
        <v>40</v>
      </c>
      <c r="S77" s="79"/>
      <c r="T77" s="72"/>
      <c r="U77" s="73"/>
      <c r="V77" s="73"/>
      <c r="W77" s="73"/>
      <c r="X77" s="73"/>
      <c r="Y77" s="73"/>
      <c r="Z77" s="73"/>
      <c r="AA77" s="73"/>
      <c r="AB77" s="73"/>
      <c r="AC77" s="73"/>
      <c r="AD77" s="73"/>
      <c r="AE77" s="73"/>
      <c r="AF77" s="73"/>
      <c r="AG77" s="73"/>
      <c r="AH77" s="74"/>
    </row>
    <row r="78">
      <c r="A78" s="7">
        <v>83.0</v>
      </c>
      <c r="B78" s="15" t="s">
        <v>361</v>
      </c>
      <c r="C78" s="9" t="s">
        <v>162</v>
      </c>
      <c r="D78" s="10" t="b">
        <v>0</v>
      </c>
      <c r="E78" s="9" t="b">
        <v>0</v>
      </c>
      <c r="F78" s="9"/>
      <c r="G78" s="12"/>
      <c r="H78" s="12"/>
      <c r="I78" s="12"/>
      <c r="J78" s="12"/>
      <c r="K78" s="12"/>
      <c r="L78" s="13" t="s">
        <v>60</v>
      </c>
      <c r="M78" s="13" t="s">
        <v>37</v>
      </c>
      <c r="N78" s="10" t="b">
        <v>0</v>
      </c>
      <c r="O78" s="14">
        <v>1.5168504826E10</v>
      </c>
      <c r="P78" s="15" t="s">
        <v>362</v>
      </c>
      <c r="Q78" s="15" t="s">
        <v>363</v>
      </c>
      <c r="R78" s="15" t="s">
        <v>77</v>
      </c>
      <c r="S78" s="82"/>
      <c r="T78" s="67"/>
      <c r="U78" s="68"/>
      <c r="V78" s="68"/>
      <c r="W78" s="68"/>
      <c r="X78" s="68"/>
      <c r="Y78" s="68"/>
      <c r="Z78" s="68"/>
      <c r="AA78" s="68"/>
      <c r="AB78" s="68"/>
      <c r="AC78" s="68"/>
      <c r="AD78" s="68"/>
      <c r="AE78" s="68"/>
      <c r="AF78" s="68"/>
      <c r="AG78" s="68"/>
      <c r="AH78" s="69"/>
    </row>
    <row r="79">
      <c r="A79" s="64">
        <v>84.0</v>
      </c>
      <c r="B79" s="26" t="s">
        <v>364</v>
      </c>
      <c r="C79" s="21" t="s">
        <v>162</v>
      </c>
      <c r="D79" s="22" t="b">
        <v>0</v>
      </c>
      <c r="E79" s="21" t="b">
        <v>0</v>
      </c>
      <c r="F79" s="21"/>
      <c r="G79" s="23"/>
      <c r="H79" s="23"/>
      <c r="I79" s="23"/>
      <c r="J79" s="23"/>
      <c r="K79" s="23"/>
      <c r="L79" s="24" t="s">
        <v>60</v>
      </c>
      <c r="M79" s="24" t="s">
        <v>53</v>
      </c>
      <c r="N79" s="22" t="b">
        <v>1</v>
      </c>
      <c r="O79" s="25">
        <v>1.8324827718E10</v>
      </c>
      <c r="P79" s="26" t="s">
        <v>365</v>
      </c>
      <c r="Q79" s="26" t="s">
        <v>340</v>
      </c>
      <c r="R79" s="26" t="s">
        <v>40</v>
      </c>
      <c r="S79" s="79"/>
      <c r="T79" s="72"/>
      <c r="U79" s="73"/>
      <c r="V79" s="73"/>
      <c r="W79" s="73"/>
      <c r="X79" s="73"/>
      <c r="Y79" s="73"/>
      <c r="Z79" s="73"/>
      <c r="AA79" s="73"/>
      <c r="AB79" s="73"/>
      <c r="AC79" s="73"/>
      <c r="AD79" s="73"/>
      <c r="AE79" s="73"/>
      <c r="AF79" s="73"/>
      <c r="AG79" s="73"/>
      <c r="AH79" s="74"/>
      <c r="AI79" s="138"/>
      <c r="AJ79" s="138"/>
      <c r="AK79" s="138"/>
      <c r="AL79" s="138"/>
    </row>
    <row r="80">
      <c r="A80" s="101">
        <v>85.0</v>
      </c>
      <c r="B80" s="139" t="s">
        <v>366</v>
      </c>
      <c r="C80" s="9" t="s">
        <v>162</v>
      </c>
      <c r="D80" s="10" t="b">
        <v>0</v>
      </c>
      <c r="E80" s="9" t="b">
        <v>0</v>
      </c>
      <c r="F80" s="9"/>
      <c r="G80" s="12"/>
      <c r="H80" s="12"/>
      <c r="I80" s="12"/>
      <c r="J80" s="12"/>
      <c r="K80" s="140"/>
      <c r="L80" s="13" t="s">
        <v>36</v>
      </c>
      <c r="M80" s="13" t="s">
        <v>37</v>
      </c>
      <c r="N80" s="10" t="b">
        <v>0</v>
      </c>
      <c r="O80" s="14">
        <v>1.4439292809E10</v>
      </c>
      <c r="P80" s="15" t="s">
        <v>367</v>
      </c>
      <c r="Q80" s="15" t="s">
        <v>368</v>
      </c>
      <c r="R80" s="15" t="s">
        <v>105</v>
      </c>
      <c r="S80" s="82"/>
      <c r="T80" s="67"/>
      <c r="U80" s="68"/>
      <c r="V80" s="68"/>
      <c r="W80" s="68"/>
      <c r="X80" s="68"/>
      <c r="Y80" s="68"/>
      <c r="Z80" s="68"/>
      <c r="AA80" s="68"/>
      <c r="AB80" s="68"/>
      <c r="AC80" s="68"/>
      <c r="AD80" s="68"/>
      <c r="AE80" s="68"/>
      <c r="AF80" s="68"/>
      <c r="AG80" s="68"/>
      <c r="AH80" s="69"/>
    </row>
    <row r="81">
      <c r="A81" s="19">
        <v>86.0</v>
      </c>
      <c r="B81" s="26" t="s">
        <v>369</v>
      </c>
      <c r="C81" s="21" t="s">
        <v>162</v>
      </c>
      <c r="D81" s="22" t="b">
        <v>1</v>
      </c>
      <c r="E81" s="21" t="b">
        <v>0</v>
      </c>
      <c r="F81" s="21"/>
      <c r="G81" s="23"/>
      <c r="H81" s="23"/>
      <c r="I81" s="24">
        <v>1.0</v>
      </c>
      <c r="J81" s="23"/>
      <c r="K81" s="140"/>
      <c r="L81" s="24" t="s">
        <v>60</v>
      </c>
      <c r="M81" s="24" t="s">
        <v>37</v>
      </c>
      <c r="N81" s="22" t="b">
        <v>0</v>
      </c>
      <c r="O81" s="25">
        <v>6.178339551E9</v>
      </c>
      <c r="P81" s="26" t="s">
        <v>370</v>
      </c>
      <c r="Q81" s="26" t="s">
        <v>371</v>
      </c>
      <c r="R81" s="26" t="s">
        <v>301</v>
      </c>
      <c r="S81" s="28" t="s">
        <v>372</v>
      </c>
      <c r="T81" s="28" t="s">
        <v>373</v>
      </c>
      <c r="U81" s="141" t="s">
        <v>374</v>
      </c>
      <c r="V81" s="29"/>
      <c r="W81" s="29"/>
      <c r="X81" s="29"/>
      <c r="Y81" s="29"/>
      <c r="Z81" s="29"/>
      <c r="AA81" s="29"/>
      <c r="AB81" s="29"/>
      <c r="AC81" s="29"/>
      <c r="AD81" s="29"/>
      <c r="AE81" s="29"/>
      <c r="AF81" s="29"/>
      <c r="AG81" s="29"/>
      <c r="AH81" s="30"/>
    </row>
    <row r="82">
      <c r="A82" s="7">
        <v>87.0</v>
      </c>
      <c r="B82" s="70" t="s">
        <v>375</v>
      </c>
      <c r="C82" s="9" t="s">
        <v>162</v>
      </c>
      <c r="D82" s="10" t="b">
        <v>0</v>
      </c>
      <c r="E82" s="9" t="b">
        <v>0</v>
      </c>
      <c r="F82" s="9"/>
      <c r="G82" s="12"/>
      <c r="H82" s="12"/>
      <c r="I82" s="12"/>
      <c r="J82" s="12"/>
      <c r="K82" s="140"/>
      <c r="L82" s="13" t="s">
        <v>60</v>
      </c>
      <c r="M82" s="13" t="s">
        <v>37</v>
      </c>
      <c r="N82" s="10" t="b">
        <v>0</v>
      </c>
      <c r="O82" s="14">
        <v>1.3472256064E10</v>
      </c>
      <c r="P82" s="15" t="s">
        <v>376</v>
      </c>
      <c r="Q82" s="15" t="s">
        <v>89</v>
      </c>
      <c r="R82" s="15" t="s">
        <v>77</v>
      </c>
      <c r="S82" s="82"/>
      <c r="T82" s="67"/>
      <c r="U82" s="68"/>
      <c r="V82" s="68"/>
      <c r="W82" s="68"/>
      <c r="X82" s="68"/>
      <c r="Y82" s="68"/>
      <c r="Z82" s="68"/>
      <c r="AA82" s="68"/>
      <c r="AB82" s="68"/>
      <c r="AC82" s="68"/>
      <c r="AD82" s="68"/>
      <c r="AE82" s="68"/>
      <c r="AF82" s="68"/>
      <c r="AG82" s="68"/>
      <c r="AH82" s="69"/>
    </row>
    <row r="83">
      <c r="A83" s="19">
        <v>88.0</v>
      </c>
      <c r="B83" s="26" t="s">
        <v>377</v>
      </c>
      <c r="C83" s="21" t="s">
        <v>162</v>
      </c>
      <c r="D83" s="22" t="b">
        <v>0</v>
      </c>
      <c r="E83" s="21" t="b">
        <v>0</v>
      </c>
      <c r="F83" s="21"/>
      <c r="G83" s="23"/>
      <c r="H83" s="23"/>
      <c r="I83" s="23"/>
      <c r="J83" s="23"/>
      <c r="K83" s="140"/>
      <c r="L83" s="24" t="s">
        <v>60</v>
      </c>
      <c r="M83" s="24" t="s">
        <v>53</v>
      </c>
      <c r="N83" s="22" t="b">
        <v>1</v>
      </c>
      <c r="O83" s="25">
        <v>1.4434739776E10</v>
      </c>
      <c r="P83" s="26" t="s">
        <v>378</v>
      </c>
      <c r="Q83" s="26" t="s">
        <v>233</v>
      </c>
      <c r="R83" s="26" t="s">
        <v>194</v>
      </c>
      <c r="S83" s="79"/>
      <c r="T83" s="72"/>
      <c r="U83" s="73"/>
      <c r="V83" s="73"/>
      <c r="W83" s="73"/>
      <c r="X83" s="73"/>
      <c r="Y83" s="73"/>
      <c r="Z83" s="73"/>
      <c r="AA83" s="73"/>
      <c r="AB83" s="73"/>
      <c r="AC83" s="73"/>
      <c r="AD83" s="73"/>
      <c r="AE83" s="73"/>
      <c r="AF83" s="73"/>
      <c r="AG83" s="73"/>
      <c r="AH83" s="74"/>
    </row>
    <row r="84">
      <c r="A84" s="7">
        <v>89.0</v>
      </c>
      <c r="B84" s="119" t="s">
        <v>379</v>
      </c>
      <c r="C84" s="9" t="s">
        <v>162</v>
      </c>
      <c r="D84" s="10" t="b">
        <v>0</v>
      </c>
      <c r="E84" s="9" t="b">
        <v>0</v>
      </c>
      <c r="F84" s="9"/>
      <c r="G84" s="12"/>
      <c r="H84" s="12"/>
      <c r="I84" s="12"/>
      <c r="J84" s="12"/>
      <c r="K84" s="140"/>
      <c r="L84" s="13" t="s">
        <v>36</v>
      </c>
      <c r="M84" s="13" t="s">
        <v>37</v>
      </c>
      <c r="N84" s="10" t="b">
        <v>0</v>
      </c>
      <c r="O84" s="14">
        <v>1.2066502327E10</v>
      </c>
      <c r="P84" s="15" t="s">
        <v>380</v>
      </c>
      <c r="Q84" s="15" t="s">
        <v>197</v>
      </c>
      <c r="R84" s="15" t="s">
        <v>198</v>
      </c>
      <c r="S84" s="82"/>
      <c r="T84" s="67"/>
      <c r="U84" s="68"/>
      <c r="V84" s="68"/>
      <c r="W84" s="68"/>
      <c r="X84" s="68"/>
      <c r="Y84" s="68"/>
      <c r="Z84" s="68"/>
      <c r="AA84" s="68"/>
      <c r="AB84" s="68"/>
      <c r="AC84" s="68"/>
      <c r="AD84" s="68"/>
      <c r="AE84" s="68"/>
      <c r="AF84" s="68"/>
      <c r="AG84" s="68"/>
      <c r="AH84" s="69"/>
    </row>
    <row r="85">
      <c r="A85" s="124">
        <v>90.0</v>
      </c>
      <c r="B85" s="99" t="s">
        <v>381</v>
      </c>
      <c r="C85" s="21" t="s">
        <v>162</v>
      </c>
      <c r="D85" s="22" t="b">
        <v>0</v>
      </c>
      <c r="E85" s="21" t="b">
        <v>0</v>
      </c>
      <c r="F85" s="21"/>
      <c r="G85" s="23"/>
      <c r="H85" s="23"/>
      <c r="I85" s="23"/>
      <c r="J85" s="23"/>
      <c r="K85" s="140"/>
      <c r="L85" s="24" t="s">
        <v>36</v>
      </c>
      <c r="M85" s="24" t="s">
        <v>37</v>
      </c>
      <c r="N85" s="22" t="b">
        <v>1</v>
      </c>
      <c r="O85" s="25">
        <v>1.5104076728E10</v>
      </c>
      <c r="P85" s="26"/>
      <c r="Q85" s="26" t="s">
        <v>382</v>
      </c>
      <c r="R85" s="26" t="s">
        <v>194</v>
      </c>
      <c r="S85" s="79"/>
      <c r="T85" s="72"/>
      <c r="U85" s="73"/>
      <c r="V85" s="73"/>
      <c r="W85" s="73"/>
      <c r="X85" s="73"/>
      <c r="Y85" s="73"/>
      <c r="Z85" s="73"/>
      <c r="AA85" s="73"/>
      <c r="AB85" s="73"/>
      <c r="AC85" s="73"/>
      <c r="AD85" s="73"/>
      <c r="AE85" s="73"/>
      <c r="AF85" s="73"/>
      <c r="AG85" s="73"/>
      <c r="AH85" s="74"/>
    </row>
    <row r="86">
      <c r="A86" s="7">
        <v>91.0</v>
      </c>
      <c r="B86" s="8" t="s">
        <v>383</v>
      </c>
      <c r="C86" s="9" t="s">
        <v>162</v>
      </c>
      <c r="D86" s="10" t="b">
        <v>1</v>
      </c>
      <c r="E86" s="9" t="b">
        <v>0</v>
      </c>
      <c r="F86" s="9"/>
      <c r="G86" s="12"/>
      <c r="H86" s="12"/>
      <c r="I86" s="12"/>
      <c r="J86" s="12"/>
      <c r="K86" s="140"/>
      <c r="L86" s="13" t="s">
        <v>36</v>
      </c>
      <c r="M86" s="13" t="s">
        <v>37</v>
      </c>
      <c r="N86" s="10" t="b">
        <v>0</v>
      </c>
      <c r="O86" s="14">
        <v>4.4392961E9</v>
      </c>
      <c r="P86" s="142" t="s">
        <v>384</v>
      </c>
      <c r="Q86" s="15" t="s">
        <v>368</v>
      </c>
      <c r="R86" s="15" t="s">
        <v>105</v>
      </c>
      <c r="S86" s="82"/>
      <c r="T86" s="15" t="s">
        <v>385</v>
      </c>
      <c r="U86" s="77"/>
      <c r="V86" s="77"/>
      <c r="W86" s="77"/>
      <c r="X86" s="77"/>
      <c r="Y86" s="77"/>
      <c r="Z86" s="77"/>
      <c r="AA86" s="77"/>
      <c r="AB86" s="77"/>
      <c r="AC86" s="77"/>
      <c r="AD86" s="77"/>
      <c r="AE86" s="77"/>
      <c r="AF86" s="77"/>
      <c r="AG86" s="77"/>
      <c r="AH86" s="78"/>
    </row>
    <row r="87">
      <c r="A87" s="64">
        <v>92.0</v>
      </c>
      <c r="B87" s="26" t="s">
        <v>386</v>
      </c>
      <c r="C87" s="21" t="s">
        <v>162</v>
      </c>
      <c r="D87" s="22" t="b">
        <v>0</v>
      </c>
      <c r="E87" s="21" t="b">
        <v>0</v>
      </c>
      <c r="F87" s="21"/>
      <c r="G87" s="23"/>
      <c r="H87" s="23"/>
      <c r="I87" s="23"/>
      <c r="J87" s="23"/>
      <c r="K87" s="140"/>
      <c r="L87" s="24" t="s">
        <v>60</v>
      </c>
      <c r="M87" s="24" t="s">
        <v>53</v>
      </c>
      <c r="N87" s="22" t="b">
        <v>1</v>
      </c>
      <c r="O87" s="25">
        <v>1.5414998563E10</v>
      </c>
      <c r="P87" s="26" t="s">
        <v>387</v>
      </c>
      <c r="Q87" s="26" t="s">
        <v>213</v>
      </c>
      <c r="R87" s="26" t="s">
        <v>40</v>
      </c>
      <c r="S87" s="79"/>
      <c r="T87" s="72"/>
      <c r="U87" s="73"/>
      <c r="V87" s="73"/>
      <c r="W87" s="73"/>
      <c r="X87" s="73"/>
      <c r="Y87" s="73"/>
      <c r="Z87" s="73"/>
      <c r="AA87" s="73"/>
      <c r="AB87" s="73"/>
      <c r="AC87" s="73"/>
      <c r="AD87" s="73"/>
      <c r="AE87" s="73"/>
      <c r="AF87" s="73"/>
      <c r="AG87" s="73"/>
      <c r="AH87" s="74"/>
    </row>
    <row r="88">
      <c r="A88" s="7">
        <v>93.0</v>
      </c>
      <c r="B88" s="70" t="s">
        <v>388</v>
      </c>
      <c r="C88" s="9" t="s">
        <v>162</v>
      </c>
      <c r="D88" s="10" t="b">
        <v>0</v>
      </c>
      <c r="E88" s="9" t="b">
        <v>0</v>
      </c>
      <c r="F88" s="9"/>
      <c r="G88" s="12"/>
      <c r="H88" s="12"/>
      <c r="I88" s="12"/>
      <c r="J88" s="12"/>
      <c r="K88" s="140"/>
      <c r="L88" s="13" t="s">
        <v>60</v>
      </c>
      <c r="M88" s="13" t="s">
        <v>37</v>
      </c>
      <c r="N88" s="10" t="b">
        <v>0</v>
      </c>
      <c r="O88" s="14">
        <v>1.2016509827E10</v>
      </c>
      <c r="P88" s="15" t="s">
        <v>389</v>
      </c>
      <c r="Q88" s="15" t="s">
        <v>390</v>
      </c>
      <c r="R88" s="15" t="s">
        <v>56</v>
      </c>
      <c r="S88" s="82"/>
      <c r="T88" s="67"/>
      <c r="U88" s="68"/>
      <c r="V88" s="68"/>
      <c r="W88" s="68"/>
      <c r="X88" s="68"/>
      <c r="Y88" s="68"/>
      <c r="Z88" s="68"/>
      <c r="AA88" s="68"/>
      <c r="AB88" s="68"/>
      <c r="AC88" s="68"/>
      <c r="AD88" s="68"/>
      <c r="AE88" s="68"/>
      <c r="AF88" s="68"/>
      <c r="AG88" s="68"/>
      <c r="AH88" s="69"/>
    </row>
    <row r="89">
      <c r="A89" s="19">
        <v>94.0</v>
      </c>
      <c r="B89" s="96" t="s">
        <v>391</v>
      </c>
      <c r="C89" s="21" t="s">
        <v>162</v>
      </c>
      <c r="D89" s="22" t="b">
        <v>0</v>
      </c>
      <c r="E89" s="21" t="b">
        <v>0</v>
      </c>
      <c r="F89" s="21"/>
      <c r="G89" s="23"/>
      <c r="H89" s="23"/>
      <c r="I89" s="23"/>
      <c r="J89" s="23"/>
      <c r="K89" s="140"/>
      <c r="L89" s="24" t="s">
        <v>36</v>
      </c>
      <c r="M89" s="24" t="s">
        <v>37</v>
      </c>
      <c r="N89" s="22" t="b">
        <v>0</v>
      </c>
      <c r="O89" s="25">
        <v>1.9173458238E10</v>
      </c>
      <c r="P89" s="26" t="s">
        <v>392</v>
      </c>
      <c r="Q89" s="26" t="s">
        <v>393</v>
      </c>
      <c r="R89" s="26" t="s">
        <v>40</v>
      </c>
      <c r="S89" s="79"/>
      <c r="T89" s="72"/>
      <c r="U89" s="73"/>
      <c r="V89" s="73"/>
      <c r="W89" s="73"/>
      <c r="X89" s="73"/>
      <c r="Y89" s="73"/>
      <c r="Z89" s="73"/>
      <c r="AA89" s="73"/>
      <c r="AB89" s="73"/>
      <c r="AC89" s="73"/>
      <c r="AD89" s="73"/>
      <c r="AE89" s="73"/>
      <c r="AF89" s="73"/>
      <c r="AG89" s="73"/>
      <c r="AH89" s="74"/>
    </row>
    <row r="90">
      <c r="A90" s="101">
        <v>95.0</v>
      </c>
      <c r="B90" s="143" t="s">
        <v>394</v>
      </c>
      <c r="C90" s="9" t="s">
        <v>162</v>
      </c>
      <c r="D90" s="10" t="b">
        <v>1</v>
      </c>
      <c r="E90" s="9" t="b">
        <v>0</v>
      </c>
      <c r="F90" s="9"/>
      <c r="G90" s="12"/>
      <c r="H90" s="12"/>
      <c r="I90" s="12"/>
      <c r="J90" s="12"/>
      <c r="K90" s="140"/>
      <c r="L90" s="13" t="s">
        <v>60</v>
      </c>
      <c r="M90" s="13" t="s">
        <v>37</v>
      </c>
      <c r="N90" s="10" t="b">
        <v>0</v>
      </c>
      <c r="O90" s="33">
        <v>3.053315337E9</v>
      </c>
      <c r="P90" s="15" t="s">
        <v>395</v>
      </c>
      <c r="Q90" s="15" t="s">
        <v>213</v>
      </c>
      <c r="R90" s="15" t="s">
        <v>40</v>
      </c>
      <c r="S90" s="82"/>
      <c r="T90" s="15" t="s">
        <v>396</v>
      </c>
      <c r="U90" s="77"/>
      <c r="V90" s="77"/>
      <c r="W90" s="77"/>
      <c r="X90" s="77"/>
      <c r="Y90" s="77"/>
      <c r="Z90" s="77"/>
      <c r="AA90" s="77"/>
      <c r="AB90" s="77"/>
      <c r="AC90" s="77"/>
      <c r="AD90" s="77"/>
      <c r="AE90" s="77"/>
      <c r="AF90" s="77"/>
      <c r="AG90" s="77"/>
      <c r="AH90" s="78"/>
    </row>
    <row r="91">
      <c r="A91" s="19">
        <v>96.0</v>
      </c>
      <c r="B91" s="26" t="s">
        <v>397</v>
      </c>
      <c r="C91" s="21" t="s">
        <v>185</v>
      </c>
      <c r="D91" s="22" t="b">
        <v>0</v>
      </c>
      <c r="E91" s="21" t="b">
        <v>0</v>
      </c>
      <c r="F91" s="21"/>
      <c r="G91" s="23"/>
      <c r="H91" s="23"/>
      <c r="I91" s="23"/>
      <c r="J91" s="23"/>
      <c r="K91" s="140"/>
      <c r="L91" s="24" t="s">
        <v>60</v>
      </c>
      <c r="M91" s="24" t="s">
        <v>53</v>
      </c>
      <c r="N91" s="22" t="b">
        <v>1</v>
      </c>
      <c r="O91" s="25">
        <v>1.4128530784E10</v>
      </c>
      <c r="P91" s="26" t="s">
        <v>398</v>
      </c>
      <c r="Q91" s="26" t="s">
        <v>213</v>
      </c>
      <c r="R91" s="26" t="s">
        <v>40</v>
      </c>
      <c r="S91" s="79"/>
      <c r="T91" s="72"/>
      <c r="U91" s="73"/>
      <c r="V91" s="73"/>
      <c r="W91" s="73"/>
      <c r="X91" s="73"/>
      <c r="Y91" s="73"/>
      <c r="Z91" s="73"/>
      <c r="AA91" s="73"/>
      <c r="AB91" s="73"/>
      <c r="AC91" s="73"/>
      <c r="AD91" s="73"/>
      <c r="AE91" s="73"/>
      <c r="AF91" s="73"/>
      <c r="AG91" s="73"/>
      <c r="AH91" s="74"/>
    </row>
    <row r="92">
      <c r="A92" s="7">
        <v>97.0</v>
      </c>
      <c r="B92" s="16" t="s">
        <v>399</v>
      </c>
      <c r="C92" s="9" t="s">
        <v>162</v>
      </c>
      <c r="D92" s="10" t="b">
        <v>0</v>
      </c>
      <c r="E92" s="9" t="b">
        <v>0</v>
      </c>
      <c r="F92" s="9"/>
      <c r="G92" s="12"/>
      <c r="H92" s="12"/>
      <c r="I92" s="12"/>
      <c r="J92" s="12"/>
      <c r="K92" s="140"/>
      <c r="L92" s="13" t="s">
        <v>60</v>
      </c>
      <c r="M92" s="13" t="s">
        <v>37</v>
      </c>
      <c r="N92" s="10" t="b">
        <v>0</v>
      </c>
      <c r="O92" s="33">
        <v>9.139614427E9</v>
      </c>
      <c r="P92" s="15" t="s">
        <v>400</v>
      </c>
      <c r="Q92" s="16" t="s">
        <v>401</v>
      </c>
      <c r="R92" s="16" t="s">
        <v>402</v>
      </c>
      <c r="S92" s="34" t="s">
        <v>403</v>
      </c>
      <c r="T92" s="15" t="s">
        <v>404</v>
      </c>
      <c r="U92" s="77"/>
      <c r="V92" s="77"/>
      <c r="W92" s="77"/>
      <c r="X92" s="77"/>
      <c r="Y92" s="77"/>
      <c r="Z92" s="77"/>
      <c r="AA92" s="77"/>
      <c r="AB92" s="77"/>
      <c r="AC92" s="77"/>
      <c r="AD92" s="77"/>
      <c r="AE92" s="77"/>
      <c r="AF92" s="77"/>
      <c r="AG92" s="77"/>
      <c r="AH92" s="78"/>
    </row>
    <row r="93">
      <c r="A93" s="19">
        <v>98.0</v>
      </c>
      <c r="B93" s="21" t="s">
        <v>405</v>
      </c>
      <c r="C93" s="21" t="s">
        <v>162</v>
      </c>
      <c r="D93" s="22" t="b">
        <v>0</v>
      </c>
      <c r="E93" s="21" t="b">
        <v>0</v>
      </c>
      <c r="F93" s="21"/>
      <c r="G93" s="23"/>
      <c r="H93" s="23"/>
      <c r="I93" s="23"/>
      <c r="J93" s="23"/>
      <c r="K93" s="140"/>
      <c r="L93" s="24" t="s">
        <v>60</v>
      </c>
      <c r="M93" s="24" t="s">
        <v>37</v>
      </c>
      <c r="N93" s="22" t="b">
        <v>0</v>
      </c>
      <c r="O93" s="25">
        <v>8.478775542E9</v>
      </c>
      <c r="P93" s="26" t="s">
        <v>406</v>
      </c>
      <c r="Q93" s="26" t="s">
        <v>407</v>
      </c>
      <c r="R93" s="26" t="s">
        <v>314</v>
      </c>
      <c r="S93" s="71" t="s">
        <v>408</v>
      </c>
      <c r="T93" s="26" t="s">
        <v>409</v>
      </c>
      <c r="U93" s="80"/>
      <c r="V93" s="80"/>
      <c r="W93" s="80"/>
      <c r="X93" s="80"/>
      <c r="Y93" s="80"/>
      <c r="Z93" s="80"/>
      <c r="AA93" s="80"/>
      <c r="AB93" s="80"/>
      <c r="AC93" s="80"/>
      <c r="AD93" s="80"/>
      <c r="AE93" s="80"/>
      <c r="AF93" s="80"/>
      <c r="AG93" s="80"/>
      <c r="AH93" s="81"/>
    </row>
    <row r="94">
      <c r="A94" s="101">
        <v>100.0</v>
      </c>
      <c r="B94" s="139" t="s">
        <v>410</v>
      </c>
      <c r="C94" s="9" t="s">
        <v>185</v>
      </c>
      <c r="D94" s="10" t="b">
        <v>0</v>
      </c>
      <c r="E94" s="9" t="b">
        <v>0</v>
      </c>
      <c r="F94" s="9"/>
      <c r="G94" s="12"/>
      <c r="H94" s="12"/>
      <c r="I94" s="12"/>
      <c r="J94" s="12"/>
      <c r="K94" s="12"/>
      <c r="L94" s="13" t="s">
        <v>36</v>
      </c>
      <c r="M94" s="13" t="s">
        <v>53</v>
      </c>
      <c r="N94" s="10" t="b">
        <v>1</v>
      </c>
      <c r="O94" s="14">
        <v>1.6178170894E10</v>
      </c>
      <c r="P94" s="15" t="s">
        <v>411</v>
      </c>
      <c r="Q94" s="15" t="s">
        <v>412</v>
      </c>
      <c r="R94" s="15" t="s">
        <v>301</v>
      </c>
      <c r="S94" s="82"/>
      <c r="T94" s="67"/>
      <c r="U94" s="68"/>
      <c r="V94" s="68"/>
      <c r="W94" s="68"/>
      <c r="X94" s="68"/>
      <c r="Y94" s="68"/>
      <c r="Z94" s="68"/>
      <c r="AA94" s="68"/>
      <c r="AB94" s="68"/>
      <c r="AC94" s="68"/>
      <c r="AD94" s="68"/>
      <c r="AE94" s="68"/>
      <c r="AF94" s="68"/>
      <c r="AG94" s="68"/>
      <c r="AH94" s="69"/>
    </row>
    <row r="95">
      <c r="A95" s="144">
        <v>101.0</v>
      </c>
      <c r="B95" s="26" t="s">
        <v>413</v>
      </c>
      <c r="C95" s="145"/>
      <c r="D95" s="146"/>
      <c r="E95" s="21" t="b">
        <v>0</v>
      </c>
      <c r="F95" s="21"/>
      <c r="G95" s="24" t="s">
        <v>414</v>
      </c>
      <c r="H95" s="24" t="s">
        <v>36</v>
      </c>
      <c r="I95" s="24" t="s">
        <v>53</v>
      </c>
      <c r="J95" s="21" t="b">
        <v>1</v>
      </c>
      <c r="K95" s="147">
        <v>1.4439296666E10</v>
      </c>
      <c r="L95" s="148" t="s">
        <v>415</v>
      </c>
      <c r="M95" s="148" t="s">
        <v>368</v>
      </c>
      <c r="N95" s="149" t="s">
        <v>105</v>
      </c>
      <c r="O95" s="150"/>
      <c r="P95" s="72"/>
      <c r="Q95" s="151"/>
      <c r="R95" s="151"/>
      <c r="S95" s="151"/>
      <c r="T95" s="151"/>
    </row>
    <row r="96">
      <c r="A96" s="152">
        <v>102.0</v>
      </c>
      <c r="B96" s="153" t="s">
        <v>416</v>
      </c>
      <c r="C96" s="154"/>
      <c r="D96" s="155"/>
      <c r="E96" s="9" t="b">
        <v>0</v>
      </c>
      <c r="F96" s="9"/>
      <c r="G96" s="13" t="s">
        <v>414</v>
      </c>
      <c r="H96" s="13" t="s">
        <v>36</v>
      </c>
      <c r="I96" s="13" t="s">
        <v>37</v>
      </c>
      <c r="J96" s="9" t="b">
        <v>0</v>
      </c>
      <c r="K96" s="156">
        <v>1.9178256727E10</v>
      </c>
      <c r="L96" s="157" t="s">
        <v>417</v>
      </c>
      <c r="M96" s="157" t="s">
        <v>418</v>
      </c>
      <c r="N96" s="158" t="s">
        <v>77</v>
      </c>
      <c r="O96" s="159"/>
      <c r="P96" s="67"/>
      <c r="Q96" s="160"/>
      <c r="R96" s="160"/>
      <c r="S96" s="160"/>
      <c r="T96" s="160"/>
    </row>
    <row r="97">
      <c r="A97" s="144">
        <v>103.0</v>
      </c>
      <c r="B97" s="26" t="s">
        <v>419</v>
      </c>
      <c r="C97" s="145"/>
      <c r="D97" s="146"/>
      <c r="E97" s="21" t="b">
        <v>0</v>
      </c>
      <c r="F97" s="21"/>
      <c r="G97" s="24" t="s">
        <v>414</v>
      </c>
      <c r="H97" s="24" t="s">
        <v>36</v>
      </c>
      <c r="I97" s="24" t="s">
        <v>37</v>
      </c>
      <c r="J97" s="21" t="b">
        <v>0</v>
      </c>
      <c r="K97" s="147">
        <v>1.5613463178E10</v>
      </c>
      <c r="L97" s="148" t="s">
        <v>420</v>
      </c>
      <c r="M97" s="148" t="s">
        <v>418</v>
      </c>
      <c r="N97" s="149" t="s">
        <v>77</v>
      </c>
      <c r="O97" s="150"/>
      <c r="P97" s="72"/>
      <c r="Q97" s="151"/>
      <c r="R97" s="151"/>
      <c r="S97" s="151"/>
      <c r="T97" s="151"/>
    </row>
    <row r="98">
      <c r="A98" s="152">
        <v>104.0</v>
      </c>
      <c r="B98" s="15" t="s">
        <v>421</v>
      </c>
      <c r="C98" s="154"/>
      <c r="D98" s="155"/>
      <c r="E98" s="9" t="b">
        <v>0</v>
      </c>
      <c r="F98" s="9"/>
      <c r="G98" s="13" t="s">
        <v>414</v>
      </c>
      <c r="H98" s="13" t="s">
        <v>60</v>
      </c>
      <c r="I98" s="13" t="s">
        <v>37</v>
      </c>
      <c r="J98" s="9" t="b">
        <v>0</v>
      </c>
      <c r="K98" s="156">
        <v>1.3472256064E10</v>
      </c>
      <c r="L98" s="157" t="s">
        <v>376</v>
      </c>
      <c r="M98" s="157" t="s">
        <v>89</v>
      </c>
      <c r="N98" s="158" t="s">
        <v>77</v>
      </c>
      <c r="O98" s="159"/>
      <c r="P98" s="67"/>
      <c r="Q98" s="160"/>
      <c r="R98" s="160"/>
      <c r="S98" s="160"/>
      <c r="T98" s="160"/>
    </row>
    <row r="99">
      <c r="A99" s="144">
        <v>105.0</v>
      </c>
      <c r="B99" s="26" t="s">
        <v>422</v>
      </c>
      <c r="C99" s="145"/>
      <c r="D99" s="146"/>
      <c r="E99" s="21" t="b">
        <v>0</v>
      </c>
      <c r="F99" s="21"/>
      <c r="G99" s="24" t="s">
        <v>414</v>
      </c>
      <c r="H99" s="24" t="s">
        <v>60</v>
      </c>
      <c r="I99" s="24" t="s">
        <v>53</v>
      </c>
      <c r="J99" s="21" t="b">
        <v>1</v>
      </c>
      <c r="K99" s="147">
        <v>1.2027701655E10</v>
      </c>
      <c r="L99" s="148" t="s">
        <v>423</v>
      </c>
      <c r="M99" s="148" t="s">
        <v>424</v>
      </c>
      <c r="N99" s="149" t="s">
        <v>84</v>
      </c>
      <c r="O99" s="150"/>
      <c r="P99" s="72"/>
      <c r="Q99" s="151"/>
      <c r="R99" s="151"/>
      <c r="S99" s="151"/>
      <c r="T99" s="151"/>
    </row>
    <row r="100">
      <c r="A100" s="161">
        <v>106.0</v>
      </c>
      <c r="B100" s="162" t="s">
        <v>425</v>
      </c>
      <c r="C100" s="163"/>
      <c r="D100" s="164"/>
      <c r="E100" s="165" t="b">
        <v>0</v>
      </c>
      <c r="F100" s="165"/>
      <c r="G100" s="166" t="s">
        <v>414</v>
      </c>
      <c r="H100" s="166" t="s">
        <v>36</v>
      </c>
      <c r="I100" s="166" t="s">
        <v>37</v>
      </c>
      <c r="J100" s="165" t="b">
        <v>0</v>
      </c>
      <c r="K100" s="167">
        <v>1.8186656777E10</v>
      </c>
      <c r="L100" s="168" t="s">
        <v>426</v>
      </c>
      <c r="M100" s="168" t="s">
        <v>427</v>
      </c>
      <c r="N100" s="169" t="s">
        <v>194</v>
      </c>
      <c r="O100" s="170"/>
      <c r="P100" s="171"/>
      <c r="Q100" s="172"/>
      <c r="R100" s="172"/>
      <c r="S100" s="172"/>
      <c r="T100" s="172"/>
    </row>
  </sheetData>
  <dataValidations>
    <dataValidation type="list" allowBlank="1" sqref="H2:H94 J2:J94">
      <formula1>"1,2,3,4,Not interested"</formula1>
    </dataValidation>
    <dataValidation type="list" allowBlank="1" sqref="H95:H100">
      <formula1>"Male,Female"</formula1>
    </dataValidation>
    <dataValidation type="list" allowBlank="1" sqref="M2:M100">
      <formula1>"35 and under,Over 35"</formula1>
    </dataValidation>
    <dataValidation allowBlank="1" showDropDown="1" sqref="B2:B100 T2:T100"/>
    <dataValidation type="list" allowBlank="1" sqref="G2:G100 I2:I100">
      <formula1>"1,2,3,4,Not interested"</formula1>
    </dataValidation>
    <dataValidation type="custom" allowBlank="1" showDropDown="1" sqref="A2:A100 O2:O100">
      <formula1>AND(ISNUMBER(A2),(NOT(OR(NOT(ISERROR(DATEVALUE(A2))), AND(ISNUMBER(A2), LEFT(CELL("format", A2))="D")))))</formula1>
    </dataValidation>
    <dataValidation type="list" allowBlank="1" sqref="K2:K100">
      <formula1>"Not Applicable,Complete,In Progress"</formula1>
    </dataValidation>
    <dataValidation allowBlank="1" showDropDown="1" sqref="P2:S100"/>
    <dataValidation type="list" allowBlank="1" sqref="L2:L100">
      <formula1>"Male,Female"</formula1>
    </dataValidation>
    <dataValidation type="list" allowBlank="1" sqref="C2:C100">
      <formula1>"Mark,Brian,Elie Goldberg,No Answer to Brian,Shmuel"</formula1>
    </dataValidation>
  </dataValidations>
  <hyperlinks>
    <hyperlink r:id="rId1" ref="P3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5.13"/>
    <col customWidth="1" min="3" max="3" width="16.63"/>
    <col customWidth="1" min="4" max="4" width="22.25"/>
    <col customWidth="1" min="5" max="5" width="16.88"/>
  </cols>
  <sheetData>
    <row r="1">
      <c r="A1" s="1" t="s">
        <v>21</v>
      </c>
      <c r="B1" s="2" t="s">
        <v>1</v>
      </c>
      <c r="C1" s="5" t="s">
        <v>428</v>
      </c>
      <c r="D1" s="5" t="s">
        <v>20</v>
      </c>
      <c r="E1" s="6" t="s">
        <v>22</v>
      </c>
    </row>
    <row r="2">
      <c r="A2" s="7">
        <v>1.0</v>
      </c>
      <c r="B2" s="119" t="s">
        <v>34</v>
      </c>
      <c r="C2" s="173" t="s">
        <v>429</v>
      </c>
      <c r="D2" s="15" t="s">
        <v>253</v>
      </c>
      <c r="E2" s="174" t="s">
        <v>430</v>
      </c>
    </row>
    <row r="3">
      <c r="A3" s="64">
        <v>2.0</v>
      </c>
      <c r="B3" s="26" t="s">
        <v>431</v>
      </c>
      <c r="C3" s="175" t="s">
        <v>429</v>
      </c>
      <c r="D3" s="96" t="s">
        <v>257</v>
      </c>
      <c r="E3" s="176" t="s">
        <v>432</v>
      </c>
    </row>
    <row r="4">
      <c r="A4" s="7">
        <v>3.0</v>
      </c>
      <c r="B4" s="177" t="s">
        <v>43</v>
      </c>
      <c r="C4" s="173" t="s">
        <v>433</v>
      </c>
      <c r="D4" s="15" t="s">
        <v>260</v>
      </c>
      <c r="E4" s="174" t="s">
        <v>434</v>
      </c>
    </row>
    <row r="5">
      <c r="A5" s="64">
        <v>4.0</v>
      </c>
      <c r="B5" s="121" t="s">
        <v>51</v>
      </c>
      <c r="C5" s="178" t="s">
        <v>435</v>
      </c>
      <c r="D5" s="26" t="s">
        <v>264</v>
      </c>
      <c r="E5" s="176" t="s">
        <v>430</v>
      </c>
    </row>
    <row r="6">
      <c r="A6" s="75">
        <v>5.0</v>
      </c>
      <c r="B6" s="128" t="s">
        <v>59</v>
      </c>
      <c r="C6" s="179" t="s">
        <v>436</v>
      </c>
      <c r="D6" s="139" t="s">
        <v>269</v>
      </c>
      <c r="E6" s="180" t="s">
        <v>430</v>
      </c>
    </row>
    <row r="7">
      <c r="A7" s="19">
        <v>6.0</v>
      </c>
      <c r="B7" s="181" t="s">
        <v>66</v>
      </c>
      <c r="C7" s="175" t="s">
        <v>434</v>
      </c>
      <c r="D7" s="21" t="s">
        <v>273</v>
      </c>
      <c r="E7" s="176" t="s">
        <v>430</v>
      </c>
    </row>
    <row r="8">
      <c r="A8" s="31">
        <v>7.0</v>
      </c>
      <c r="B8" s="15" t="s">
        <v>388</v>
      </c>
      <c r="C8" s="182" t="s">
        <v>435</v>
      </c>
      <c r="D8" s="9" t="s">
        <v>276</v>
      </c>
      <c r="E8" s="174" t="s">
        <v>430</v>
      </c>
    </row>
    <row r="9">
      <c r="A9" s="19">
        <v>8.0</v>
      </c>
      <c r="B9" s="21" t="s">
        <v>80</v>
      </c>
      <c r="C9" s="175" t="s">
        <v>432</v>
      </c>
      <c r="D9" s="26" t="s">
        <v>280</v>
      </c>
      <c r="E9" s="176" t="s">
        <v>437</v>
      </c>
    </row>
    <row r="10">
      <c r="A10" s="7">
        <v>9.0</v>
      </c>
      <c r="B10" s="9" t="s">
        <v>73</v>
      </c>
      <c r="C10" s="173" t="s">
        <v>438</v>
      </c>
      <c r="D10" s="183" t="s">
        <v>284</v>
      </c>
      <c r="E10" s="174" t="s">
        <v>429</v>
      </c>
    </row>
    <row r="11">
      <c r="A11" s="83">
        <v>10.0</v>
      </c>
      <c r="B11" s="184" t="s">
        <v>91</v>
      </c>
      <c r="C11" s="185" t="s">
        <v>432</v>
      </c>
      <c r="D11" s="186" t="s">
        <v>287</v>
      </c>
      <c r="E11" s="187" t="s">
        <v>429</v>
      </c>
    </row>
    <row r="12">
      <c r="A12" s="7">
        <v>11.0</v>
      </c>
      <c r="B12" s="15" t="s">
        <v>97</v>
      </c>
      <c r="C12" s="173" t="s">
        <v>439</v>
      </c>
      <c r="D12" s="15" t="s">
        <v>290</v>
      </c>
      <c r="E12" s="188" t="s">
        <v>440</v>
      </c>
    </row>
    <row r="13">
      <c r="A13" s="19">
        <v>12.0</v>
      </c>
      <c r="B13" s="121" t="s">
        <v>101</v>
      </c>
      <c r="C13" s="178" t="s">
        <v>440</v>
      </c>
      <c r="D13" s="129" t="s">
        <v>295</v>
      </c>
      <c r="E13" s="176" t="s">
        <v>429</v>
      </c>
    </row>
    <row r="14">
      <c r="A14" s="7">
        <v>13.0</v>
      </c>
      <c r="B14" s="9" t="s">
        <v>107</v>
      </c>
      <c r="C14" s="173" t="s">
        <v>437</v>
      </c>
      <c r="D14" s="119" t="s">
        <v>298</v>
      </c>
      <c r="E14" s="174" t="s">
        <v>441</v>
      </c>
    </row>
    <row r="15">
      <c r="A15" s="19">
        <v>14.0</v>
      </c>
      <c r="B15" s="26" t="s">
        <v>86</v>
      </c>
      <c r="C15" s="175" t="s">
        <v>438</v>
      </c>
      <c r="D15" s="26" t="s">
        <v>304</v>
      </c>
      <c r="E15" s="176" t="s">
        <v>436</v>
      </c>
    </row>
    <row r="16">
      <c r="A16" s="75">
        <v>15.0</v>
      </c>
      <c r="B16" s="139" t="s">
        <v>113</v>
      </c>
      <c r="C16" s="179" t="s">
        <v>436</v>
      </c>
      <c r="D16" s="189" t="s">
        <v>306</v>
      </c>
      <c r="E16" s="180" t="s">
        <v>437</v>
      </c>
    </row>
    <row r="17">
      <c r="A17" s="19">
        <v>16.0</v>
      </c>
      <c r="B17" s="96" t="s">
        <v>116</v>
      </c>
      <c r="C17" s="175" t="s">
        <v>433</v>
      </c>
      <c r="D17" s="26" t="s">
        <v>309</v>
      </c>
      <c r="E17" s="176" t="s">
        <v>436</v>
      </c>
    </row>
    <row r="18">
      <c r="A18" s="31">
        <v>17.0</v>
      </c>
      <c r="B18" s="9" t="s">
        <v>121</v>
      </c>
      <c r="C18" s="173" t="s">
        <v>442</v>
      </c>
      <c r="D18" s="119" t="s">
        <v>311</v>
      </c>
      <c r="E18" s="174" t="s">
        <v>443</v>
      </c>
    </row>
    <row r="19">
      <c r="A19" s="19">
        <v>18.0</v>
      </c>
      <c r="B19" s="21" t="s">
        <v>127</v>
      </c>
      <c r="C19" s="175" t="s">
        <v>429</v>
      </c>
      <c r="D19" s="26" t="s">
        <v>444</v>
      </c>
      <c r="E19" s="176" t="s">
        <v>438</v>
      </c>
    </row>
    <row r="20">
      <c r="A20" s="31">
        <v>19.0</v>
      </c>
      <c r="B20" s="16" t="s">
        <v>132</v>
      </c>
      <c r="C20" s="173" t="s">
        <v>442</v>
      </c>
      <c r="D20" s="15" t="s">
        <v>317</v>
      </c>
      <c r="E20" s="174" t="s">
        <v>438</v>
      </c>
    </row>
    <row r="21">
      <c r="A21" s="83">
        <v>20.0</v>
      </c>
      <c r="B21" s="99" t="s">
        <v>137</v>
      </c>
      <c r="C21" s="185" t="s">
        <v>437</v>
      </c>
      <c r="D21" s="190" t="s">
        <v>323</v>
      </c>
      <c r="E21" s="187" t="s">
        <v>430</v>
      </c>
    </row>
    <row r="22">
      <c r="A22" s="7">
        <v>21.0</v>
      </c>
      <c r="B22" s="9" t="s">
        <v>142</v>
      </c>
      <c r="C22" s="173" t="s">
        <v>436</v>
      </c>
      <c r="D22" s="119" t="s">
        <v>320</v>
      </c>
      <c r="E22" s="174" t="s">
        <v>438</v>
      </c>
    </row>
    <row r="23">
      <c r="A23" s="64">
        <v>22.0</v>
      </c>
      <c r="B23" s="26" t="s">
        <v>148</v>
      </c>
      <c r="C23" s="178" t="s">
        <v>435</v>
      </c>
      <c r="D23" s="96" t="s">
        <v>331</v>
      </c>
      <c r="E23" s="176" t="s">
        <v>430</v>
      </c>
    </row>
    <row r="24">
      <c r="A24" s="7">
        <v>23.0</v>
      </c>
      <c r="B24" s="119" t="s">
        <v>153</v>
      </c>
      <c r="C24" s="182" t="s">
        <v>435</v>
      </c>
      <c r="D24" s="123" t="s">
        <v>334</v>
      </c>
      <c r="E24" s="174" t="s">
        <v>443</v>
      </c>
    </row>
    <row r="25">
      <c r="A25" s="64">
        <v>24.0</v>
      </c>
      <c r="B25" s="26" t="s">
        <v>375</v>
      </c>
      <c r="C25" s="175" t="s">
        <v>438</v>
      </c>
      <c r="D25" s="26" t="s">
        <v>338</v>
      </c>
      <c r="E25" s="176" t="s">
        <v>429</v>
      </c>
    </row>
    <row r="26">
      <c r="A26" s="75">
        <v>25.0</v>
      </c>
      <c r="B26" s="191" t="s">
        <v>157</v>
      </c>
      <c r="C26" s="179" t="s">
        <v>432</v>
      </c>
      <c r="D26" s="153" t="s">
        <v>341</v>
      </c>
      <c r="E26" s="180" t="s">
        <v>430</v>
      </c>
    </row>
    <row r="27">
      <c r="A27" s="19">
        <v>26.0</v>
      </c>
      <c r="B27" s="21" t="s">
        <v>161</v>
      </c>
      <c r="C27" s="175" t="s">
        <v>432</v>
      </c>
      <c r="D27" s="96" t="s">
        <v>445</v>
      </c>
      <c r="E27" s="176" t="s">
        <v>429</v>
      </c>
    </row>
    <row r="28">
      <c r="A28" s="31">
        <v>27.0</v>
      </c>
      <c r="B28" s="9" t="s">
        <v>166</v>
      </c>
      <c r="C28" s="173" t="s">
        <v>442</v>
      </c>
      <c r="D28" s="15" t="s">
        <v>327</v>
      </c>
      <c r="E28" s="174" t="s">
        <v>438</v>
      </c>
    </row>
    <row r="29">
      <c r="A29" s="19">
        <v>28.0</v>
      </c>
      <c r="B29" s="26" t="s">
        <v>111</v>
      </c>
      <c r="C29" s="175" t="s">
        <v>438</v>
      </c>
      <c r="D29" s="26" t="s">
        <v>349</v>
      </c>
      <c r="E29" s="176" t="s">
        <v>429</v>
      </c>
    </row>
    <row r="30">
      <c r="A30" s="31">
        <v>29.0</v>
      </c>
      <c r="B30" s="119" t="s">
        <v>446</v>
      </c>
      <c r="C30" s="173" t="s">
        <v>430</v>
      </c>
      <c r="D30" s="107" t="s">
        <v>351</v>
      </c>
      <c r="E30" s="174" t="s">
        <v>432</v>
      </c>
    </row>
    <row r="31">
      <c r="A31" s="83">
        <v>30.0</v>
      </c>
      <c r="B31" s="99" t="s">
        <v>177</v>
      </c>
      <c r="C31" s="185" t="s">
        <v>439</v>
      </c>
      <c r="D31" s="99" t="s">
        <v>352</v>
      </c>
      <c r="E31" s="187" t="s">
        <v>441</v>
      </c>
    </row>
    <row r="32">
      <c r="A32" s="7">
        <v>31.0</v>
      </c>
      <c r="B32" s="9" t="s">
        <v>180</v>
      </c>
      <c r="C32" s="173" t="s">
        <v>432</v>
      </c>
      <c r="D32" s="123" t="s">
        <v>355</v>
      </c>
      <c r="E32" s="174" t="s">
        <v>429</v>
      </c>
    </row>
    <row r="33">
      <c r="A33" s="64">
        <v>32.0</v>
      </c>
      <c r="B33" s="96" t="s">
        <v>184</v>
      </c>
      <c r="C33" s="175" t="s">
        <v>437</v>
      </c>
      <c r="D33" s="26" t="s">
        <v>358</v>
      </c>
      <c r="E33" s="176" t="s">
        <v>429</v>
      </c>
    </row>
    <row r="34">
      <c r="A34" s="7">
        <v>33.0</v>
      </c>
      <c r="B34" s="15" t="s">
        <v>188</v>
      </c>
      <c r="C34" s="173" t="s">
        <v>429</v>
      </c>
      <c r="D34" s="9" t="s">
        <v>346</v>
      </c>
      <c r="E34" s="174" t="s">
        <v>438</v>
      </c>
    </row>
    <row r="35">
      <c r="A35" s="64">
        <v>34.0</v>
      </c>
      <c r="B35" s="96" t="s">
        <v>191</v>
      </c>
      <c r="C35" s="175" t="s">
        <v>430</v>
      </c>
      <c r="D35" s="26" t="s">
        <v>364</v>
      </c>
      <c r="E35" s="176" t="s">
        <v>429</v>
      </c>
    </row>
    <row r="36">
      <c r="A36" s="101">
        <v>35.0</v>
      </c>
      <c r="B36" s="153" t="s">
        <v>195</v>
      </c>
      <c r="C36" s="179" t="s">
        <v>447</v>
      </c>
      <c r="D36" s="139" t="s">
        <v>366</v>
      </c>
      <c r="E36" s="192" t="s">
        <v>440</v>
      </c>
    </row>
    <row r="37">
      <c r="A37" s="19">
        <v>36.0</v>
      </c>
      <c r="B37" s="21" t="s">
        <v>155</v>
      </c>
      <c r="C37" s="178" t="s">
        <v>435</v>
      </c>
      <c r="D37" s="26" t="s">
        <v>369</v>
      </c>
      <c r="E37" s="176" t="s">
        <v>441</v>
      </c>
    </row>
    <row r="38">
      <c r="A38" s="7">
        <v>37.0</v>
      </c>
      <c r="B38" s="90" t="s">
        <v>171</v>
      </c>
      <c r="C38" s="173" t="s">
        <v>438</v>
      </c>
      <c r="D38" s="15" t="s">
        <v>361</v>
      </c>
      <c r="E38" s="174" t="s">
        <v>438</v>
      </c>
    </row>
    <row r="39">
      <c r="A39" s="19">
        <v>38.0</v>
      </c>
      <c r="B39" s="26" t="s">
        <v>211</v>
      </c>
      <c r="C39" s="175" t="s">
        <v>429</v>
      </c>
      <c r="D39" s="26" t="s">
        <v>377</v>
      </c>
      <c r="E39" s="176" t="s">
        <v>430</v>
      </c>
    </row>
    <row r="40">
      <c r="A40" s="31">
        <v>39.0</v>
      </c>
      <c r="B40" s="16" t="s">
        <v>216</v>
      </c>
      <c r="C40" s="182" t="s">
        <v>440</v>
      </c>
      <c r="D40" s="119" t="s">
        <v>379</v>
      </c>
      <c r="E40" s="174" t="s">
        <v>447</v>
      </c>
    </row>
    <row r="41">
      <c r="A41" s="83">
        <v>40.0</v>
      </c>
      <c r="B41" s="99" t="s">
        <v>221</v>
      </c>
      <c r="C41" s="185" t="s">
        <v>436</v>
      </c>
      <c r="D41" s="99" t="s">
        <v>381</v>
      </c>
      <c r="E41" s="187" t="s">
        <v>430</v>
      </c>
    </row>
    <row r="42">
      <c r="A42" s="7">
        <v>41.0</v>
      </c>
      <c r="B42" s="15" t="s">
        <v>224</v>
      </c>
      <c r="C42" s="173" t="s">
        <v>437</v>
      </c>
      <c r="D42" s="119" t="s">
        <v>383</v>
      </c>
      <c r="E42" s="188" t="s">
        <v>440</v>
      </c>
    </row>
    <row r="43">
      <c r="A43" s="64">
        <v>42.0</v>
      </c>
      <c r="B43" s="181" t="s">
        <v>206</v>
      </c>
      <c r="C43" s="175" t="s">
        <v>438</v>
      </c>
      <c r="D43" s="26" t="s">
        <v>386</v>
      </c>
      <c r="E43" s="176" t="s">
        <v>429</v>
      </c>
    </row>
    <row r="44">
      <c r="A44" s="7">
        <v>43.0</v>
      </c>
      <c r="B44" s="177" t="s">
        <v>227</v>
      </c>
      <c r="C44" s="173" t="s">
        <v>436</v>
      </c>
      <c r="D44" s="9" t="s">
        <v>201</v>
      </c>
      <c r="E44" s="188" t="s">
        <v>435</v>
      </c>
    </row>
    <row r="45">
      <c r="A45" s="64">
        <v>44.0</v>
      </c>
      <c r="B45" s="121" t="s">
        <v>448</v>
      </c>
      <c r="C45" s="178" t="s">
        <v>449</v>
      </c>
      <c r="D45" s="96" t="s">
        <v>391</v>
      </c>
      <c r="E45" s="176" t="s">
        <v>429</v>
      </c>
    </row>
    <row r="46">
      <c r="A46" s="75">
        <v>45.0</v>
      </c>
      <c r="B46" s="128" t="s">
        <v>231</v>
      </c>
      <c r="C46" s="179" t="s">
        <v>430</v>
      </c>
      <c r="D46" s="193" t="s">
        <v>394</v>
      </c>
      <c r="E46" s="180" t="s">
        <v>429</v>
      </c>
    </row>
    <row r="47">
      <c r="A47" s="19">
        <v>46.0</v>
      </c>
      <c r="B47" s="116" t="s">
        <v>236</v>
      </c>
      <c r="C47" s="175" t="s">
        <v>437</v>
      </c>
      <c r="D47" s="26" t="s">
        <v>397</v>
      </c>
      <c r="E47" s="176" t="s">
        <v>429</v>
      </c>
    </row>
    <row r="48">
      <c r="A48" s="31">
        <v>47.0</v>
      </c>
      <c r="B48" s="15" t="s">
        <v>450</v>
      </c>
      <c r="C48" s="173" t="s">
        <v>438</v>
      </c>
      <c r="D48" s="16" t="s">
        <v>399</v>
      </c>
      <c r="E48" s="188" t="s">
        <v>451</v>
      </c>
    </row>
    <row r="49">
      <c r="A49" s="19">
        <v>48.0</v>
      </c>
      <c r="B49" s="96" t="s">
        <v>239</v>
      </c>
      <c r="C49" s="175" t="s">
        <v>429</v>
      </c>
      <c r="D49" s="21" t="s">
        <v>405</v>
      </c>
      <c r="E49" s="176" t="s">
        <v>443</v>
      </c>
    </row>
    <row r="50">
      <c r="A50" s="31">
        <v>49.0</v>
      </c>
      <c r="B50" s="15" t="s">
        <v>244</v>
      </c>
      <c r="C50" s="173" t="s">
        <v>452</v>
      </c>
      <c r="D50" s="119" t="s">
        <v>453</v>
      </c>
      <c r="E50" s="174" t="s">
        <v>430</v>
      </c>
    </row>
    <row r="51">
      <c r="A51" s="83">
        <v>50.0</v>
      </c>
      <c r="B51" s="184" t="s">
        <v>248</v>
      </c>
      <c r="C51" s="185" t="s">
        <v>430</v>
      </c>
      <c r="D51" s="99" t="s">
        <v>410</v>
      </c>
      <c r="E51" s="187" t="s">
        <v>441</v>
      </c>
    </row>
    <row r="52">
      <c r="A52" s="7">
        <v>51.0</v>
      </c>
      <c r="B52" s="15" t="s">
        <v>253</v>
      </c>
      <c r="C52" s="9" t="s">
        <v>430</v>
      </c>
      <c r="D52" s="77"/>
      <c r="E52" s="78"/>
    </row>
    <row r="53">
      <c r="A53" s="64">
        <v>52.0</v>
      </c>
      <c r="B53" s="96" t="s">
        <v>257</v>
      </c>
      <c r="C53" s="21" t="s">
        <v>432</v>
      </c>
      <c r="D53" s="80"/>
      <c r="E53" s="81"/>
    </row>
    <row r="54">
      <c r="A54" s="7">
        <v>53.0</v>
      </c>
      <c r="B54" s="15" t="s">
        <v>260</v>
      </c>
      <c r="C54" s="9" t="s">
        <v>434</v>
      </c>
      <c r="D54" s="77"/>
      <c r="E54" s="78"/>
    </row>
    <row r="55">
      <c r="A55" s="64">
        <v>54.0</v>
      </c>
      <c r="B55" s="26" t="s">
        <v>264</v>
      </c>
      <c r="C55" s="21" t="s">
        <v>430</v>
      </c>
      <c r="D55" s="80"/>
      <c r="E55" s="81"/>
    </row>
    <row r="56">
      <c r="A56" s="75">
        <v>55.0</v>
      </c>
      <c r="B56" s="139" t="s">
        <v>269</v>
      </c>
      <c r="C56" s="9" t="s">
        <v>430</v>
      </c>
      <c r="D56" s="77"/>
      <c r="E56" s="78"/>
    </row>
    <row r="57">
      <c r="A57" s="19">
        <v>56.0</v>
      </c>
      <c r="B57" s="21" t="s">
        <v>273</v>
      </c>
      <c r="C57" s="21" t="s">
        <v>430</v>
      </c>
      <c r="D57" s="80"/>
      <c r="E57" s="81"/>
    </row>
    <row r="58">
      <c r="A58" s="31">
        <v>57.0</v>
      </c>
      <c r="B58" s="9" t="s">
        <v>276</v>
      </c>
      <c r="C58" s="9" t="s">
        <v>430</v>
      </c>
      <c r="D58" s="77"/>
      <c r="E58" s="78"/>
    </row>
    <row r="59">
      <c r="A59" s="19">
        <v>58.0</v>
      </c>
      <c r="B59" s="26" t="s">
        <v>280</v>
      </c>
      <c r="C59" s="21" t="s">
        <v>437</v>
      </c>
      <c r="D59" s="80"/>
      <c r="E59" s="81"/>
    </row>
    <row r="60">
      <c r="A60" s="31">
        <v>59.0</v>
      </c>
      <c r="B60" s="183" t="s">
        <v>284</v>
      </c>
      <c r="C60" s="9" t="s">
        <v>429</v>
      </c>
      <c r="D60" s="77"/>
      <c r="E60" s="78"/>
    </row>
    <row r="61">
      <c r="A61" s="124">
        <v>60.0</v>
      </c>
      <c r="B61" s="186" t="s">
        <v>287</v>
      </c>
      <c r="C61" s="21" t="s">
        <v>429</v>
      </c>
      <c r="D61" s="80"/>
      <c r="E61" s="81"/>
    </row>
    <row r="62">
      <c r="A62" s="7">
        <v>61.0</v>
      </c>
      <c r="B62" s="15" t="s">
        <v>290</v>
      </c>
      <c r="C62" s="194" t="s">
        <v>440</v>
      </c>
      <c r="D62" s="91"/>
      <c r="E62" s="92"/>
    </row>
    <row r="63">
      <c r="A63" s="64">
        <v>62.0</v>
      </c>
      <c r="B63" s="129" t="s">
        <v>295</v>
      </c>
      <c r="C63" s="21" t="s">
        <v>429</v>
      </c>
      <c r="D63" s="80"/>
      <c r="E63" s="81"/>
    </row>
    <row r="64">
      <c r="A64" s="31">
        <v>63.0</v>
      </c>
      <c r="B64" s="119" t="s">
        <v>298</v>
      </c>
      <c r="C64" s="9" t="s">
        <v>454</v>
      </c>
      <c r="D64" s="77"/>
      <c r="E64" s="78"/>
    </row>
    <row r="65">
      <c r="A65" s="19">
        <v>64.0</v>
      </c>
      <c r="B65" s="26" t="s">
        <v>304</v>
      </c>
      <c r="C65" s="21" t="s">
        <v>436</v>
      </c>
      <c r="D65" s="80"/>
      <c r="E65" s="81"/>
    </row>
    <row r="66">
      <c r="A66" s="101">
        <v>65.0</v>
      </c>
      <c r="B66" s="195" t="s">
        <v>306</v>
      </c>
      <c r="C66" s="9" t="s">
        <v>437</v>
      </c>
      <c r="D66" s="77"/>
      <c r="E66" s="78"/>
    </row>
    <row r="67">
      <c r="A67" s="64">
        <v>66.0</v>
      </c>
      <c r="B67" s="26" t="s">
        <v>309</v>
      </c>
      <c r="C67" s="21" t="s">
        <v>436</v>
      </c>
      <c r="D67" s="80"/>
      <c r="E67" s="81"/>
    </row>
    <row r="68">
      <c r="A68" s="31">
        <v>67.0</v>
      </c>
      <c r="B68" s="119" t="s">
        <v>311</v>
      </c>
      <c r="C68" s="9" t="s">
        <v>443</v>
      </c>
      <c r="D68" s="77"/>
      <c r="E68" s="78"/>
    </row>
    <row r="69">
      <c r="A69" s="19">
        <v>68.0</v>
      </c>
      <c r="B69" s="26" t="s">
        <v>444</v>
      </c>
      <c r="C69" s="21" t="s">
        <v>438</v>
      </c>
      <c r="D69" s="80"/>
      <c r="E69" s="81"/>
    </row>
    <row r="70">
      <c r="A70" s="7">
        <v>69.0</v>
      </c>
      <c r="B70" s="15" t="s">
        <v>317</v>
      </c>
      <c r="C70" s="9" t="s">
        <v>438</v>
      </c>
      <c r="D70" s="77"/>
      <c r="E70" s="78"/>
    </row>
    <row r="71">
      <c r="A71" s="83">
        <v>70.0</v>
      </c>
      <c r="B71" s="190" t="s">
        <v>323</v>
      </c>
      <c r="C71" s="21" t="s">
        <v>430</v>
      </c>
      <c r="D71" s="80"/>
      <c r="E71" s="81"/>
    </row>
    <row r="72">
      <c r="A72" s="31">
        <v>71.0</v>
      </c>
      <c r="B72" s="119" t="s">
        <v>320</v>
      </c>
      <c r="C72" s="9" t="s">
        <v>438</v>
      </c>
      <c r="D72" s="77"/>
      <c r="E72" s="78"/>
    </row>
    <row r="73">
      <c r="A73" s="64">
        <v>72.0</v>
      </c>
      <c r="B73" s="96" t="s">
        <v>331</v>
      </c>
      <c r="C73" s="21" t="s">
        <v>430</v>
      </c>
      <c r="D73" s="80"/>
      <c r="E73" s="81"/>
    </row>
    <row r="74">
      <c r="A74" s="7">
        <v>73.0</v>
      </c>
      <c r="B74" s="123" t="s">
        <v>334</v>
      </c>
      <c r="C74" s="9" t="s">
        <v>443</v>
      </c>
      <c r="D74" s="77"/>
      <c r="E74" s="78"/>
    </row>
    <row r="75">
      <c r="A75" s="64">
        <v>74.0</v>
      </c>
      <c r="B75" s="26" t="s">
        <v>338</v>
      </c>
      <c r="C75" s="21" t="s">
        <v>429</v>
      </c>
      <c r="D75" s="80"/>
      <c r="E75" s="81"/>
    </row>
    <row r="76">
      <c r="A76" s="75">
        <v>75.0</v>
      </c>
      <c r="B76" s="153" t="s">
        <v>341</v>
      </c>
      <c r="C76" s="9" t="s">
        <v>430</v>
      </c>
      <c r="D76" s="77"/>
      <c r="E76" s="78"/>
    </row>
    <row r="77">
      <c r="A77" s="19">
        <v>76.0</v>
      </c>
      <c r="B77" s="96" t="s">
        <v>445</v>
      </c>
      <c r="C77" s="21" t="s">
        <v>429</v>
      </c>
      <c r="D77" s="80"/>
      <c r="E77" s="81"/>
    </row>
    <row r="78">
      <c r="A78" s="31">
        <v>77.0</v>
      </c>
      <c r="B78" s="15" t="s">
        <v>327</v>
      </c>
      <c r="C78" s="9" t="s">
        <v>438</v>
      </c>
      <c r="D78" s="77"/>
      <c r="E78" s="78"/>
    </row>
    <row r="79">
      <c r="A79" s="19">
        <v>78.0</v>
      </c>
      <c r="B79" s="26" t="s">
        <v>349</v>
      </c>
      <c r="C79" s="21" t="s">
        <v>429</v>
      </c>
      <c r="D79" s="80"/>
      <c r="E79" s="81"/>
    </row>
    <row r="80">
      <c r="A80" s="31">
        <v>79.0</v>
      </c>
      <c r="B80" s="107" t="s">
        <v>351</v>
      </c>
      <c r="C80" s="9" t="s">
        <v>432</v>
      </c>
      <c r="D80" s="77"/>
      <c r="E80" s="78"/>
    </row>
    <row r="81">
      <c r="A81" s="83">
        <v>80.0</v>
      </c>
      <c r="B81" s="99" t="s">
        <v>352</v>
      </c>
      <c r="C81" s="21" t="s">
        <v>454</v>
      </c>
      <c r="D81" s="80"/>
      <c r="E81" s="81"/>
    </row>
    <row r="82">
      <c r="A82" s="7">
        <v>81.0</v>
      </c>
      <c r="B82" s="123" t="s">
        <v>355</v>
      </c>
      <c r="C82" s="9" t="s">
        <v>429</v>
      </c>
      <c r="D82" s="77"/>
      <c r="E82" s="78"/>
    </row>
    <row r="83">
      <c r="A83" s="64">
        <v>82.0</v>
      </c>
      <c r="B83" s="26" t="s">
        <v>358</v>
      </c>
      <c r="C83" s="21" t="s">
        <v>429</v>
      </c>
      <c r="D83" s="80"/>
      <c r="E83" s="81"/>
    </row>
    <row r="84">
      <c r="A84" s="7">
        <v>83.0</v>
      </c>
      <c r="B84" s="9" t="s">
        <v>346</v>
      </c>
      <c r="C84" s="9" t="s">
        <v>438</v>
      </c>
      <c r="D84" s="77"/>
      <c r="E84" s="78"/>
    </row>
    <row r="85">
      <c r="A85" s="64">
        <v>84.0</v>
      </c>
      <c r="B85" s="26" t="s">
        <v>364</v>
      </c>
      <c r="C85" s="21" t="s">
        <v>429</v>
      </c>
      <c r="D85" s="80"/>
      <c r="E85" s="81"/>
    </row>
    <row r="86">
      <c r="A86" s="101">
        <v>85.0</v>
      </c>
      <c r="B86" s="139" t="s">
        <v>366</v>
      </c>
      <c r="C86" s="194" t="s">
        <v>440</v>
      </c>
      <c r="D86" s="91"/>
      <c r="E86" s="92"/>
    </row>
    <row r="87">
      <c r="A87" s="19">
        <v>86.0</v>
      </c>
      <c r="B87" s="26" t="s">
        <v>455</v>
      </c>
      <c r="C87" s="21" t="s">
        <v>454</v>
      </c>
      <c r="D87" s="80"/>
      <c r="E87" s="81"/>
    </row>
    <row r="88">
      <c r="A88" s="7">
        <v>87.0</v>
      </c>
      <c r="B88" s="15" t="s">
        <v>361</v>
      </c>
      <c r="C88" s="9" t="s">
        <v>438</v>
      </c>
      <c r="D88" s="77"/>
      <c r="E88" s="78"/>
    </row>
    <row r="89">
      <c r="A89" s="19">
        <v>88.0</v>
      </c>
      <c r="B89" s="26" t="s">
        <v>377</v>
      </c>
      <c r="C89" s="21" t="s">
        <v>430</v>
      </c>
      <c r="D89" s="80"/>
      <c r="E89" s="81"/>
    </row>
    <row r="90">
      <c r="A90" s="7">
        <v>89.0</v>
      </c>
      <c r="B90" s="119" t="s">
        <v>379</v>
      </c>
      <c r="C90" s="9" t="s">
        <v>447</v>
      </c>
      <c r="D90" s="77"/>
      <c r="E90" s="78"/>
    </row>
    <row r="91">
      <c r="A91" s="124">
        <v>90.0</v>
      </c>
      <c r="B91" s="99" t="s">
        <v>381</v>
      </c>
      <c r="C91" s="21" t="s">
        <v>430</v>
      </c>
      <c r="D91" s="80"/>
      <c r="E91" s="81"/>
    </row>
    <row r="92">
      <c r="A92" s="7">
        <v>91.0</v>
      </c>
      <c r="B92" s="119" t="s">
        <v>383</v>
      </c>
      <c r="C92" s="194" t="s">
        <v>440</v>
      </c>
      <c r="D92" s="91"/>
      <c r="E92" s="92"/>
    </row>
    <row r="93">
      <c r="A93" s="64">
        <v>92.0</v>
      </c>
      <c r="B93" s="26" t="s">
        <v>386</v>
      </c>
      <c r="C93" s="21" t="s">
        <v>429</v>
      </c>
      <c r="D93" s="80"/>
      <c r="E93" s="81"/>
    </row>
    <row r="94">
      <c r="A94" s="7">
        <v>93.0</v>
      </c>
      <c r="B94" s="9" t="s">
        <v>201</v>
      </c>
      <c r="C94" s="194" t="s">
        <v>435</v>
      </c>
      <c r="D94" s="91"/>
      <c r="E94" s="92"/>
    </row>
    <row r="95">
      <c r="A95" s="19">
        <v>94.0</v>
      </c>
      <c r="B95" s="96" t="s">
        <v>391</v>
      </c>
      <c r="C95" s="21" t="s">
        <v>429</v>
      </c>
      <c r="D95" s="80"/>
      <c r="E95" s="81"/>
    </row>
    <row r="96">
      <c r="A96" s="101">
        <v>95.0</v>
      </c>
      <c r="B96" s="193" t="s">
        <v>394</v>
      </c>
      <c r="C96" s="9" t="s">
        <v>429</v>
      </c>
      <c r="D96" s="77"/>
      <c r="E96" s="78"/>
    </row>
    <row r="97">
      <c r="A97" s="19">
        <v>96.0</v>
      </c>
      <c r="B97" s="26" t="s">
        <v>397</v>
      </c>
      <c r="C97" s="21" t="s">
        <v>429</v>
      </c>
      <c r="D97" s="80"/>
      <c r="E97" s="81"/>
    </row>
    <row r="98">
      <c r="A98" s="7">
        <v>97.0</v>
      </c>
      <c r="B98" s="16" t="s">
        <v>399</v>
      </c>
      <c r="C98" s="194" t="s">
        <v>451</v>
      </c>
      <c r="D98" s="91"/>
      <c r="E98" s="92"/>
    </row>
    <row r="99">
      <c r="A99" s="19">
        <v>98.0</v>
      </c>
      <c r="B99" s="21" t="s">
        <v>405</v>
      </c>
      <c r="C99" s="21" t="s">
        <v>443</v>
      </c>
      <c r="D99" s="80"/>
      <c r="E99" s="81"/>
    </row>
    <row r="100">
      <c r="A100" s="7">
        <v>99.0</v>
      </c>
      <c r="B100" s="119" t="s">
        <v>453</v>
      </c>
      <c r="C100" s="9" t="s">
        <v>430</v>
      </c>
      <c r="D100" s="77"/>
      <c r="E100" s="78"/>
    </row>
    <row r="101">
      <c r="A101" s="124">
        <v>100.0</v>
      </c>
      <c r="B101" s="99" t="s">
        <v>410</v>
      </c>
      <c r="C101" s="196" t="s">
        <v>454</v>
      </c>
      <c r="D101" s="197"/>
      <c r="E101" s="198"/>
    </row>
  </sheetData>
  <dataValidations>
    <dataValidation allowBlank="1" showDropDown="1" sqref="B2:B101"/>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72.0"/>
  </cols>
  <sheetData>
    <row r="1">
      <c r="A1" s="199">
        <f>'Submitted Slate - TOP 100'!28:28</f>
        <v>28</v>
      </c>
      <c r="B1" s="200" t="str">
        <f>'Submitted Slate - TOP 100'!28:28</f>
        <v>Julian Weiss*</v>
      </c>
      <c r="C1" s="201" t="str">
        <f>'Submitted Slate - TOP 100'!T28</f>
        <v>victim of antisemitic attack in Texas at his college, nearly died from the attack. Wants to connect us to Ribanut (sovereighnty movement) to help campaign and raise profile. Would love to help make connections in congress and run events/groups. Has experience</v>
      </c>
    </row>
    <row r="2">
      <c r="A2" s="202" t="str">
        <f t="shared" ref="A2:C2" si="1">#REF!</f>
        <v>#REF!</v>
      </c>
      <c r="B2" s="202" t="str">
        <f t="shared" si="1"/>
        <v>#REF!</v>
      </c>
      <c r="C2" s="201" t="str">
        <f t="shared" si="1"/>
        <v>#REF!</v>
      </c>
    </row>
    <row r="3">
      <c r="A3" s="199">
        <f>'Submitted Slate - TOP 100'!52:52</f>
        <v>56</v>
      </c>
      <c r="B3" s="202" t="str">
        <f>'Submitted Slate - TOP 100'!52:52</f>
        <v>Zack Rich*</v>
      </c>
      <c r="C3" s="201" t="str">
        <f>'Submitted Slate - TOP 100'!T52</f>
        <v>Wants to involve W/ R' Chait abt HarHabayit</v>
      </c>
    </row>
    <row r="4">
      <c r="A4" s="199">
        <f>'Submitted Slate - TOP 100'!59:59</f>
        <v>63</v>
      </c>
      <c r="B4" s="200" t="str">
        <f>'Submitted Slate - TOP 100'!59:59</f>
        <v>Karen Hurvitz</v>
      </c>
      <c r="C4" s="201" t="str">
        <f>'Submitted Slate - TOP 100'!T59</f>
        <v>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 Likes to write articles and would write for the campaign</v>
      </c>
    </row>
    <row r="5">
      <c r="A5" s="199">
        <f>'Submitted Slate - TOP 100'!68:68</f>
        <v>72</v>
      </c>
      <c r="B5" s="200" t="str">
        <f>'Submitted Slate - TOP 100'!68:68</f>
        <v>Gabriella Gomperts*</v>
      </c>
      <c r="C5" s="201" t="str">
        <f>'Submitted Slate - TOP 100'!T68</f>
        <v>Interned for Israel365 in Summer, very invested, student in Stern college, interested in running booth at Stern collge. Also can write articles if given direction</v>
      </c>
    </row>
    <row r="6">
      <c r="A6" s="199">
        <f>'Submitted Slate - TOP 100'!36:36</f>
        <v>37</v>
      </c>
      <c r="B6" s="202" t="str">
        <f>'Submitted Slate - TOP 100'!36:36</f>
        <v>Deborah Peretz</v>
      </c>
      <c r="C6" s="201" t="str">
        <f>'Submitted Slate - TOP 100'!T36</f>
        <v>Everything I do is pro-Israel, from writing curriculum to going to rallies. She is still committed, works with Stand With Us, and has deep experience in Jewish education. Can write articles and make content</v>
      </c>
    </row>
    <row r="7">
      <c r="A7" s="202"/>
      <c r="B7" s="202"/>
      <c r="C7" s="201"/>
    </row>
    <row r="8">
      <c r="A8" s="202"/>
      <c r="B8" s="202"/>
      <c r="C8" s="201"/>
    </row>
    <row r="9">
      <c r="A9" s="202"/>
      <c r="B9" s="202"/>
      <c r="C9" s="201"/>
    </row>
    <row r="10">
      <c r="A10" s="202"/>
      <c r="B10" s="202"/>
      <c r="C10" s="201"/>
    </row>
    <row r="11">
      <c r="A11" s="202"/>
      <c r="B11" s="202"/>
      <c r="C11" s="201"/>
    </row>
    <row r="12">
      <c r="A12" s="202"/>
      <c r="B12" s="202"/>
      <c r="C12" s="201"/>
    </row>
    <row r="13">
      <c r="A13" s="202"/>
      <c r="B13" s="202"/>
      <c r="C13" s="201"/>
    </row>
    <row r="14">
      <c r="A14" s="202"/>
      <c r="B14" s="202"/>
      <c r="C14" s="201"/>
    </row>
    <row r="15">
      <c r="A15" s="202"/>
      <c r="B15" s="202"/>
      <c r="C15" s="201"/>
    </row>
    <row r="16">
      <c r="A16" s="202"/>
      <c r="B16" s="202"/>
      <c r="C16" s="201"/>
    </row>
    <row r="17">
      <c r="A17" s="202"/>
      <c r="B17" s="202"/>
      <c r="C17" s="201"/>
    </row>
    <row r="18">
      <c r="A18" s="202"/>
      <c r="B18" s="202"/>
      <c r="C18" s="201"/>
    </row>
    <row r="19">
      <c r="A19" s="202"/>
      <c r="B19" s="202"/>
      <c r="C19" s="201"/>
    </row>
    <row r="20">
      <c r="A20" s="202"/>
      <c r="B20" s="202"/>
      <c r="C20" s="201"/>
    </row>
    <row r="21">
      <c r="A21" s="202"/>
      <c r="B21" s="202"/>
      <c r="C21" s="201"/>
    </row>
    <row r="22">
      <c r="A22" s="202"/>
      <c r="B22" s="202"/>
      <c r="C22" s="201"/>
    </row>
    <row r="23">
      <c r="A23" s="202"/>
      <c r="B23" s="202"/>
      <c r="C23" s="201"/>
    </row>
    <row r="24">
      <c r="A24" s="202"/>
      <c r="B24" s="202"/>
      <c r="C24" s="201"/>
    </row>
    <row r="25">
      <c r="A25" s="202"/>
      <c r="B25" s="202"/>
      <c r="C25" s="201"/>
    </row>
    <row r="26">
      <c r="A26" s="202"/>
      <c r="B26" s="202"/>
      <c r="C26" s="201"/>
    </row>
    <row r="27">
      <c r="A27" s="202"/>
      <c r="B27" s="202"/>
      <c r="C27" s="201"/>
    </row>
    <row r="28">
      <c r="A28" s="202"/>
      <c r="B28" s="202"/>
      <c r="C28" s="201"/>
    </row>
    <row r="29">
      <c r="A29" s="202"/>
      <c r="B29" s="202"/>
      <c r="C29" s="201"/>
    </row>
    <row r="30">
      <c r="A30" s="202"/>
      <c r="B30" s="202"/>
      <c r="C30" s="201"/>
    </row>
    <row r="31">
      <c r="A31" s="202"/>
      <c r="B31" s="202"/>
      <c r="C31" s="201"/>
    </row>
    <row r="32">
      <c r="A32" s="202"/>
      <c r="B32" s="202"/>
      <c r="C32" s="201"/>
    </row>
    <row r="33">
      <c r="A33" s="202"/>
      <c r="B33" s="202"/>
      <c r="C33" s="201"/>
    </row>
    <row r="34">
      <c r="A34" s="202"/>
      <c r="B34" s="202"/>
      <c r="C34" s="201"/>
    </row>
    <row r="35">
      <c r="A35" s="202"/>
      <c r="B35" s="202"/>
      <c r="C35" s="201"/>
    </row>
    <row r="36">
      <c r="A36" s="202"/>
      <c r="B36" s="202"/>
      <c r="C36" s="201"/>
    </row>
    <row r="37">
      <c r="A37" s="202"/>
      <c r="B37" s="202"/>
      <c r="C37" s="201"/>
    </row>
    <row r="38">
      <c r="A38" s="202"/>
      <c r="B38" s="202"/>
      <c r="C38" s="201"/>
    </row>
    <row r="39">
      <c r="A39" s="202"/>
      <c r="B39" s="202"/>
      <c r="C39" s="201"/>
    </row>
    <row r="40">
      <c r="A40" s="202"/>
      <c r="B40" s="202"/>
      <c r="C40" s="201"/>
    </row>
    <row r="41">
      <c r="A41" s="202"/>
      <c r="B41" s="202"/>
      <c r="C41" s="201"/>
    </row>
    <row r="42">
      <c r="A42" s="202"/>
      <c r="B42" s="202"/>
      <c r="C42" s="201"/>
    </row>
    <row r="43">
      <c r="A43" s="202"/>
      <c r="B43" s="202"/>
      <c r="C43" s="201"/>
    </row>
    <row r="44">
      <c r="A44" s="202"/>
      <c r="B44" s="202"/>
      <c r="C44" s="201"/>
    </row>
    <row r="45">
      <c r="A45" s="202"/>
      <c r="B45" s="202"/>
      <c r="C45" s="201"/>
    </row>
    <row r="46">
      <c r="A46" s="202"/>
      <c r="B46" s="202"/>
      <c r="C46" s="201"/>
    </row>
    <row r="47">
      <c r="A47" s="202"/>
      <c r="B47" s="202"/>
      <c r="C47" s="201"/>
    </row>
    <row r="48">
      <c r="A48" s="202"/>
      <c r="B48" s="202"/>
      <c r="C48" s="201"/>
    </row>
    <row r="49">
      <c r="A49" s="202"/>
      <c r="B49" s="202"/>
      <c r="C49" s="201"/>
    </row>
    <row r="50">
      <c r="A50" s="202"/>
      <c r="B50" s="202"/>
      <c r="C50" s="201"/>
    </row>
    <row r="51">
      <c r="A51" s="202"/>
      <c r="B51" s="202"/>
      <c r="C51" s="201"/>
    </row>
    <row r="52">
      <c r="A52" s="202"/>
      <c r="B52" s="202"/>
      <c r="C52" s="201"/>
    </row>
    <row r="53">
      <c r="A53" s="202"/>
      <c r="B53" s="202"/>
      <c r="C53" s="201"/>
    </row>
    <row r="54">
      <c r="A54" s="202"/>
      <c r="B54" s="202"/>
      <c r="C54" s="201"/>
    </row>
    <row r="55">
      <c r="A55" s="202"/>
      <c r="B55" s="202"/>
      <c r="C55" s="201"/>
    </row>
    <row r="56">
      <c r="A56" s="202"/>
      <c r="B56" s="202"/>
      <c r="C56" s="201"/>
    </row>
    <row r="57">
      <c r="A57" s="202"/>
      <c r="B57" s="202"/>
      <c r="C57" s="201"/>
    </row>
    <row r="58">
      <c r="A58" s="202"/>
      <c r="B58" s="202"/>
      <c r="C58" s="201"/>
    </row>
    <row r="59">
      <c r="A59" s="202"/>
      <c r="B59" s="202"/>
      <c r="C59" s="201"/>
    </row>
    <row r="60">
      <c r="A60" s="202"/>
      <c r="B60" s="202"/>
      <c r="C60" s="201"/>
    </row>
    <row r="61">
      <c r="A61" s="202"/>
      <c r="B61" s="202"/>
      <c r="C61" s="201"/>
    </row>
    <row r="62">
      <c r="A62" s="202"/>
      <c r="B62" s="202"/>
      <c r="C62" s="201"/>
    </row>
    <row r="63">
      <c r="A63" s="202"/>
      <c r="B63" s="202"/>
      <c r="C63" s="201"/>
    </row>
    <row r="64">
      <c r="A64" s="202"/>
      <c r="B64" s="202"/>
      <c r="C64" s="201"/>
    </row>
    <row r="65">
      <c r="A65" s="202"/>
      <c r="B65" s="202"/>
      <c r="C65" s="201"/>
    </row>
    <row r="66">
      <c r="A66" s="202"/>
      <c r="B66" s="202"/>
      <c r="C66" s="201"/>
    </row>
    <row r="67">
      <c r="A67" s="202"/>
      <c r="B67" s="202"/>
      <c r="C67" s="201"/>
    </row>
    <row r="68">
      <c r="A68" s="202"/>
      <c r="B68" s="202"/>
      <c r="C68" s="201"/>
    </row>
    <row r="69">
      <c r="A69" s="202"/>
      <c r="B69" s="202"/>
      <c r="C69" s="201"/>
    </row>
    <row r="70">
      <c r="A70" s="202"/>
      <c r="B70" s="202"/>
      <c r="C70" s="201"/>
    </row>
    <row r="71">
      <c r="A71" s="202"/>
      <c r="B71" s="202"/>
      <c r="C71" s="201"/>
    </row>
    <row r="72">
      <c r="A72" s="202"/>
      <c r="B72" s="202"/>
      <c r="C72" s="201"/>
    </row>
    <row r="73">
      <c r="A73" s="202"/>
      <c r="B73" s="202"/>
      <c r="C73" s="201"/>
    </row>
    <row r="74">
      <c r="A74" s="202"/>
      <c r="B74" s="202"/>
      <c r="C74" s="201"/>
    </row>
    <row r="75">
      <c r="A75" s="202"/>
      <c r="B75" s="202"/>
      <c r="C75" s="201"/>
    </row>
    <row r="76">
      <c r="A76" s="202"/>
      <c r="B76" s="202"/>
      <c r="C76" s="201"/>
    </row>
    <row r="77">
      <c r="A77" s="202"/>
      <c r="B77" s="202"/>
      <c r="C77" s="201"/>
    </row>
    <row r="78">
      <c r="A78" s="202"/>
      <c r="B78" s="202"/>
      <c r="C78" s="201"/>
    </row>
    <row r="79">
      <c r="A79" s="202"/>
      <c r="B79" s="202"/>
      <c r="C79" s="201"/>
    </row>
    <row r="80">
      <c r="A80" s="202"/>
      <c r="B80" s="202"/>
      <c r="C80" s="201"/>
    </row>
    <row r="81">
      <c r="A81" s="202"/>
      <c r="B81" s="202"/>
      <c r="C81" s="201"/>
    </row>
    <row r="82">
      <c r="A82" s="202"/>
      <c r="B82" s="202"/>
      <c r="C82" s="201"/>
    </row>
    <row r="83">
      <c r="A83" s="202"/>
      <c r="B83" s="202"/>
      <c r="C83" s="201"/>
    </row>
    <row r="84">
      <c r="A84" s="202"/>
      <c r="B84" s="202"/>
      <c r="C84" s="201"/>
    </row>
    <row r="85">
      <c r="A85" s="202"/>
      <c r="B85" s="202"/>
      <c r="C85" s="201"/>
    </row>
    <row r="86">
      <c r="A86" s="202"/>
      <c r="B86" s="202"/>
      <c r="C86" s="201"/>
    </row>
    <row r="87">
      <c r="A87" s="202"/>
      <c r="B87" s="202"/>
      <c r="C87" s="201"/>
    </row>
    <row r="88">
      <c r="A88" s="202"/>
      <c r="B88" s="202"/>
      <c r="C88" s="201"/>
    </row>
    <row r="89">
      <c r="A89" s="202"/>
      <c r="B89" s="202"/>
      <c r="C89" s="201"/>
    </row>
    <row r="90">
      <c r="A90" s="202"/>
      <c r="B90" s="202"/>
      <c r="C90" s="201"/>
    </row>
    <row r="91">
      <c r="A91" s="202"/>
      <c r="B91" s="202"/>
      <c r="C91" s="201"/>
    </row>
    <row r="92">
      <c r="A92" s="202"/>
      <c r="B92" s="202"/>
      <c r="C92" s="201"/>
    </row>
    <row r="93">
      <c r="A93" s="202"/>
      <c r="B93" s="202"/>
      <c r="C93" s="201"/>
    </row>
    <row r="94">
      <c r="A94" s="202"/>
      <c r="B94" s="202"/>
      <c r="C94" s="201"/>
    </row>
    <row r="95">
      <c r="A95" s="202"/>
      <c r="B95" s="202"/>
      <c r="C95" s="201"/>
    </row>
    <row r="96">
      <c r="A96" s="202"/>
      <c r="B96" s="202"/>
      <c r="C96" s="201"/>
    </row>
    <row r="97">
      <c r="A97" s="202"/>
      <c r="B97" s="202"/>
      <c r="C97" s="201"/>
    </row>
    <row r="98">
      <c r="A98" s="202"/>
      <c r="B98" s="202"/>
      <c r="C98" s="201"/>
    </row>
    <row r="99">
      <c r="A99" s="202"/>
      <c r="B99" s="202"/>
      <c r="C99" s="201"/>
    </row>
    <row r="100">
      <c r="A100" s="202"/>
      <c r="B100" s="202"/>
      <c r="C100" s="201"/>
    </row>
    <row r="101">
      <c r="A101" s="202"/>
      <c r="B101" s="202"/>
      <c r="C101" s="201"/>
    </row>
    <row r="102">
      <c r="A102" s="202"/>
      <c r="B102" s="202"/>
      <c r="C102" s="201"/>
    </row>
    <row r="103">
      <c r="A103" s="202"/>
      <c r="B103" s="202"/>
      <c r="C103" s="201"/>
    </row>
    <row r="104">
      <c r="A104" s="202"/>
      <c r="B104" s="202"/>
      <c r="C104" s="201"/>
    </row>
    <row r="105">
      <c r="A105" s="202"/>
      <c r="B105" s="202"/>
      <c r="C105" s="201"/>
    </row>
    <row r="106">
      <c r="A106" s="202"/>
      <c r="B106" s="202"/>
      <c r="C106" s="201"/>
    </row>
    <row r="107">
      <c r="A107" s="202"/>
      <c r="B107" s="202"/>
      <c r="C107" s="201"/>
    </row>
    <row r="108">
      <c r="A108" s="202"/>
      <c r="B108" s="202"/>
      <c r="C108" s="201"/>
    </row>
    <row r="109">
      <c r="A109" s="202"/>
      <c r="B109" s="202"/>
      <c r="C109" s="201"/>
    </row>
    <row r="110">
      <c r="A110" s="202"/>
      <c r="B110" s="202"/>
      <c r="C110" s="201"/>
    </row>
    <row r="111">
      <c r="A111" s="202"/>
      <c r="B111" s="202"/>
      <c r="C111" s="201"/>
    </row>
    <row r="112">
      <c r="A112" s="202"/>
      <c r="B112" s="202"/>
      <c r="C112" s="201"/>
    </row>
    <row r="113">
      <c r="A113" s="202"/>
      <c r="B113" s="202"/>
      <c r="C113" s="201"/>
    </row>
    <row r="114">
      <c r="A114" s="202"/>
      <c r="B114" s="202"/>
      <c r="C114" s="201"/>
    </row>
    <row r="115">
      <c r="A115" s="202"/>
      <c r="B115" s="202"/>
      <c r="C115" s="201"/>
    </row>
    <row r="116">
      <c r="A116" s="202"/>
      <c r="B116" s="202"/>
      <c r="C116" s="201"/>
    </row>
    <row r="117">
      <c r="A117" s="202"/>
      <c r="B117" s="202"/>
      <c r="C117" s="201"/>
    </row>
    <row r="118">
      <c r="A118" s="202"/>
      <c r="B118" s="202"/>
      <c r="C118" s="201"/>
    </row>
    <row r="119">
      <c r="A119" s="202"/>
      <c r="B119" s="202"/>
      <c r="C119" s="201"/>
    </row>
    <row r="120">
      <c r="A120" s="202"/>
      <c r="B120" s="202"/>
      <c r="C120" s="201"/>
    </row>
    <row r="121">
      <c r="A121" s="202"/>
      <c r="B121" s="202"/>
      <c r="C121" s="201"/>
    </row>
    <row r="122">
      <c r="A122" s="202"/>
      <c r="B122" s="202"/>
      <c r="C122" s="201"/>
    </row>
    <row r="123">
      <c r="A123" s="202"/>
      <c r="B123" s="202"/>
      <c r="C123" s="201"/>
    </row>
    <row r="124">
      <c r="A124" s="202"/>
      <c r="B124" s="202"/>
      <c r="C124" s="201"/>
    </row>
    <row r="125">
      <c r="A125" s="202"/>
      <c r="B125" s="202"/>
      <c r="C125" s="201"/>
    </row>
    <row r="126">
      <c r="A126" s="202"/>
      <c r="B126" s="202"/>
      <c r="C126" s="201"/>
    </row>
    <row r="127">
      <c r="A127" s="202"/>
      <c r="B127" s="202"/>
      <c r="C127" s="201"/>
    </row>
    <row r="128">
      <c r="A128" s="202"/>
      <c r="B128" s="202"/>
      <c r="C128" s="201"/>
    </row>
    <row r="129">
      <c r="A129" s="202"/>
      <c r="B129" s="202"/>
      <c r="C129" s="201"/>
    </row>
    <row r="130">
      <c r="A130" s="202"/>
      <c r="B130" s="202"/>
      <c r="C130" s="201"/>
    </row>
    <row r="131">
      <c r="A131" s="202"/>
      <c r="B131" s="202"/>
      <c r="C131" s="201"/>
    </row>
    <row r="132">
      <c r="A132" s="202"/>
      <c r="B132" s="202"/>
      <c r="C132" s="201"/>
    </row>
    <row r="133">
      <c r="A133" s="202"/>
      <c r="B133" s="202"/>
      <c r="C133" s="201"/>
    </row>
    <row r="134">
      <c r="A134" s="202"/>
      <c r="B134" s="202"/>
      <c r="C134" s="201"/>
    </row>
    <row r="135">
      <c r="A135" s="202"/>
      <c r="B135" s="202"/>
      <c r="C135" s="201"/>
    </row>
    <row r="136">
      <c r="A136" s="202"/>
      <c r="B136" s="202"/>
      <c r="C136" s="201"/>
    </row>
    <row r="137">
      <c r="A137" s="202"/>
      <c r="B137" s="202"/>
      <c r="C137" s="201"/>
    </row>
    <row r="138">
      <c r="A138" s="202"/>
      <c r="B138" s="202"/>
      <c r="C138" s="201"/>
    </row>
    <row r="139">
      <c r="A139" s="202"/>
      <c r="B139" s="202"/>
      <c r="C139" s="201"/>
    </row>
    <row r="140">
      <c r="A140" s="202"/>
      <c r="B140" s="202"/>
      <c r="C140" s="201"/>
    </row>
    <row r="141">
      <c r="A141" s="202"/>
      <c r="B141" s="202"/>
      <c r="C141" s="201"/>
    </row>
    <row r="142">
      <c r="A142" s="202"/>
      <c r="B142" s="202"/>
      <c r="C142" s="201"/>
    </row>
    <row r="143">
      <c r="A143" s="202"/>
      <c r="B143" s="202"/>
      <c r="C143" s="201"/>
    </row>
    <row r="144">
      <c r="A144" s="202"/>
      <c r="B144" s="202"/>
      <c r="C144" s="201"/>
    </row>
    <row r="145">
      <c r="A145" s="202"/>
      <c r="B145" s="202"/>
      <c r="C145" s="201"/>
    </row>
    <row r="146">
      <c r="A146" s="202"/>
      <c r="B146" s="202"/>
      <c r="C146" s="201"/>
    </row>
    <row r="147">
      <c r="A147" s="202"/>
      <c r="B147" s="202"/>
      <c r="C147" s="201"/>
    </row>
    <row r="148">
      <c r="A148" s="202"/>
      <c r="B148" s="202"/>
      <c r="C148" s="201"/>
    </row>
    <row r="149">
      <c r="A149" s="202"/>
      <c r="B149" s="202"/>
      <c r="C149" s="201"/>
    </row>
    <row r="150">
      <c r="A150" s="202"/>
      <c r="B150" s="202"/>
      <c r="C150" s="201"/>
    </row>
    <row r="151">
      <c r="A151" s="202"/>
      <c r="B151" s="202"/>
      <c r="C151" s="201"/>
    </row>
    <row r="152">
      <c r="A152" s="202"/>
      <c r="B152" s="202"/>
      <c r="C152" s="201"/>
    </row>
    <row r="153">
      <c r="A153" s="202"/>
      <c r="B153" s="202"/>
      <c r="C153" s="201"/>
    </row>
    <row r="154">
      <c r="A154" s="202"/>
      <c r="B154" s="202"/>
      <c r="C154" s="201"/>
    </row>
    <row r="155">
      <c r="A155" s="202"/>
      <c r="B155" s="202"/>
      <c r="C155" s="201"/>
    </row>
    <row r="156">
      <c r="A156" s="202"/>
      <c r="B156" s="202"/>
      <c r="C156" s="201"/>
    </row>
    <row r="157">
      <c r="A157" s="202"/>
      <c r="B157" s="202"/>
      <c r="C157" s="201"/>
    </row>
    <row r="158">
      <c r="A158" s="202"/>
      <c r="B158" s="202"/>
      <c r="C158" s="201"/>
    </row>
    <row r="159">
      <c r="A159" s="202"/>
      <c r="B159" s="202"/>
      <c r="C159" s="201"/>
    </row>
    <row r="160">
      <c r="A160" s="202"/>
      <c r="B160" s="202"/>
      <c r="C160" s="201"/>
    </row>
    <row r="161">
      <c r="A161" s="202"/>
      <c r="B161" s="202"/>
      <c r="C161" s="201"/>
    </row>
    <row r="162">
      <c r="A162" s="202"/>
      <c r="B162" s="202"/>
      <c r="C162" s="201"/>
    </row>
    <row r="163">
      <c r="A163" s="202"/>
      <c r="B163" s="202"/>
      <c r="C163" s="201"/>
    </row>
    <row r="164">
      <c r="A164" s="202"/>
      <c r="B164" s="202"/>
      <c r="C164" s="201"/>
    </row>
    <row r="165">
      <c r="A165" s="202"/>
      <c r="B165" s="202"/>
      <c r="C165" s="201"/>
    </row>
    <row r="166">
      <c r="A166" s="202"/>
      <c r="B166" s="202"/>
      <c r="C166" s="201"/>
    </row>
    <row r="167">
      <c r="A167" s="202"/>
      <c r="B167" s="202"/>
      <c r="C167" s="201"/>
    </row>
    <row r="168">
      <c r="A168" s="202"/>
      <c r="B168" s="202"/>
      <c r="C168" s="201"/>
    </row>
    <row r="169">
      <c r="A169" s="202"/>
      <c r="B169" s="202"/>
      <c r="C169" s="201"/>
    </row>
    <row r="170">
      <c r="A170" s="202"/>
      <c r="B170" s="202"/>
      <c r="C170" s="201"/>
    </row>
    <row r="171">
      <c r="A171" s="202"/>
      <c r="B171" s="202"/>
      <c r="C171" s="201"/>
    </row>
    <row r="172">
      <c r="A172" s="202"/>
      <c r="B172" s="202"/>
      <c r="C172" s="201"/>
    </row>
    <row r="173">
      <c r="A173" s="202"/>
      <c r="B173" s="202"/>
      <c r="C173" s="201"/>
    </row>
    <row r="174">
      <c r="A174" s="202"/>
      <c r="B174" s="202"/>
      <c r="C174" s="201"/>
    </row>
    <row r="175">
      <c r="A175" s="202"/>
      <c r="B175" s="202"/>
      <c r="C175" s="201"/>
    </row>
    <row r="176">
      <c r="A176" s="202"/>
      <c r="B176" s="202"/>
      <c r="C176" s="201"/>
    </row>
    <row r="177">
      <c r="A177" s="202"/>
      <c r="B177" s="202"/>
      <c r="C177" s="201"/>
    </row>
    <row r="178">
      <c r="A178" s="202"/>
      <c r="B178" s="202"/>
      <c r="C178" s="201"/>
    </row>
    <row r="179">
      <c r="A179" s="202"/>
      <c r="B179" s="202"/>
      <c r="C179" s="201"/>
    </row>
    <row r="180">
      <c r="A180" s="202"/>
      <c r="B180" s="202"/>
      <c r="C180" s="201"/>
    </row>
    <row r="181">
      <c r="A181" s="202"/>
      <c r="B181" s="202"/>
      <c r="C181" s="201"/>
    </row>
    <row r="182">
      <c r="A182" s="202"/>
      <c r="B182" s="202"/>
      <c r="C182" s="201"/>
    </row>
    <row r="183">
      <c r="A183" s="202"/>
      <c r="B183" s="202"/>
      <c r="C183" s="201"/>
    </row>
    <row r="184">
      <c r="A184" s="202"/>
      <c r="B184" s="202"/>
      <c r="C184" s="201"/>
    </row>
    <row r="185">
      <c r="A185" s="202"/>
      <c r="B185" s="202"/>
      <c r="C185" s="201"/>
    </row>
    <row r="186">
      <c r="A186" s="202"/>
      <c r="B186" s="202"/>
      <c r="C186" s="201"/>
    </row>
    <row r="187">
      <c r="A187" s="202"/>
      <c r="B187" s="202"/>
      <c r="C187" s="201"/>
    </row>
    <row r="188">
      <c r="A188" s="202"/>
      <c r="B188" s="202"/>
      <c r="C188" s="201"/>
    </row>
    <row r="189">
      <c r="A189" s="202"/>
      <c r="B189" s="202"/>
      <c r="C189" s="201"/>
    </row>
    <row r="190">
      <c r="A190" s="202"/>
      <c r="B190" s="202"/>
      <c r="C190" s="201"/>
    </row>
    <row r="191">
      <c r="A191" s="202"/>
      <c r="B191" s="202"/>
      <c r="C191" s="201"/>
    </row>
    <row r="192">
      <c r="A192" s="202"/>
      <c r="B192" s="202"/>
      <c r="C192" s="201"/>
    </row>
    <row r="193">
      <c r="A193" s="202"/>
      <c r="B193" s="202"/>
      <c r="C193" s="201"/>
    </row>
    <row r="194">
      <c r="A194" s="202"/>
      <c r="B194" s="202"/>
      <c r="C194" s="201"/>
    </row>
    <row r="195">
      <c r="A195" s="202"/>
      <c r="B195" s="202"/>
      <c r="C195" s="201"/>
    </row>
    <row r="196">
      <c r="A196" s="202"/>
      <c r="B196" s="202"/>
      <c r="C196" s="201"/>
    </row>
    <row r="197">
      <c r="A197" s="202"/>
      <c r="B197" s="202"/>
      <c r="C197" s="201"/>
    </row>
    <row r="198">
      <c r="A198" s="202"/>
      <c r="B198" s="202"/>
      <c r="C198" s="201"/>
    </row>
    <row r="199">
      <c r="A199" s="202"/>
      <c r="B199" s="202"/>
      <c r="C199" s="201"/>
    </row>
    <row r="200">
      <c r="A200" s="202"/>
      <c r="B200" s="202"/>
      <c r="C200" s="201"/>
    </row>
    <row r="201">
      <c r="A201" s="202"/>
      <c r="B201" s="202"/>
      <c r="C201" s="201"/>
    </row>
    <row r="202">
      <c r="A202" s="202"/>
      <c r="B202" s="202"/>
      <c r="C202" s="201"/>
    </row>
    <row r="203">
      <c r="A203" s="202"/>
      <c r="B203" s="202"/>
      <c r="C203" s="201"/>
    </row>
    <row r="204">
      <c r="A204" s="202"/>
      <c r="B204" s="202"/>
      <c r="C204" s="201"/>
    </row>
    <row r="205">
      <c r="A205" s="202"/>
      <c r="B205" s="202"/>
      <c r="C205" s="201"/>
    </row>
    <row r="206">
      <c r="A206" s="202"/>
      <c r="B206" s="202"/>
      <c r="C206" s="201"/>
    </row>
    <row r="207">
      <c r="A207" s="202"/>
      <c r="B207" s="202"/>
      <c r="C207" s="201"/>
    </row>
    <row r="208">
      <c r="A208" s="202"/>
      <c r="B208" s="202"/>
      <c r="C208" s="201"/>
    </row>
    <row r="209">
      <c r="A209" s="202"/>
      <c r="B209" s="202"/>
      <c r="C209" s="201"/>
    </row>
    <row r="210">
      <c r="A210" s="202"/>
      <c r="B210" s="202"/>
      <c r="C210" s="201"/>
    </row>
    <row r="211">
      <c r="A211" s="202"/>
      <c r="B211" s="202"/>
      <c r="C211" s="201"/>
    </row>
    <row r="212">
      <c r="A212" s="202"/>
      <c r="B212" s="202"/>
      <c r="C212" s="201"/>
    </row>
    <row r="213">
      <c r="A213" s="202"/>
      <c r="B213" s="202"/>
      <c r="C213" s="201"/>
    </row>
    <row r="214">
      <c r="A214" s="202"/>
      <c r="B214" s="202"/>
      <c r="C214" s="201"/>
    </row>
    <row r="215">
      <c r="A215" s="202"/>
      <c r="B215" s="202"/>
      <c r="C215" s="201"/>
    </row>
    <row r="216">
      <c r="A216" s="202"/>
      <c r="B216" s="202"/>
      <c r="C216" s="201"/>
    </row>
    <row r="217">
      <c r="A217" s="202"/>
      <c r="B217" s="202"/>
      <c r="C217" s="201"/>
    </row>
    <row r="218">
      <c r="A218" s="202"/>
      <c r="B218" s="202"/>
      <c r="C218" s="201"/>
    </row>
    <row r="219">
      <c r="A219" s="202"/>
      <c r="B219" s="202"/>
      <c r="C219" s="201"/>
    </row>
    <row r="220">
      <c r="A220" s="202"/>
      <c r="B220" s="202"/>
      <c r="C220" s="201"/>
    </row>
    <row r="221">
      <c r="A221" s="202"/>
      <c r="B221" s="202"/>
      <c r="C221" s="201"/>
    </row>
    <row r="222">
      <c r="A222" s="202"/>
      <c r="B222" s="202"/>
      <c r="C222" s="201"/>
    </row>
    <row r="223">
      <c r="A223" s="202"/>
      <c r="B223" s="202"/>
      <c r="C223" s="201"/>
    </row>
    <row r="224">
      <c r="A224" s="202"/>
      <c r="B224" s="202"/>
      <c r="C224" s="201"/>
    </row>
    <row r="225">
      <c r="A225" s="202"/>
      <c r="B225" s="202"/>
      <c r="C225" s="201"/>
    </row>
    <row r="226">
      <c r="A226" s="202"/>
      <c r="B226" s="202"/>
      <c r="C226" s="201"/>
    </row>
    <row r="227">
      <c r="A227" s="202"/>
      <c r="B227" s="202"/>
      <c r="C227" s="201"/>
    </row>
    <row r="228">
      <c r="A228" s="202"/>
      <c r="B228" s="202"/>
      <c r="C228" s="201"/>
    </row>
    <row r="229">
      <c r="A229" s="202"/>
      <c r="B229" s="202"/>
      <c r="C229" s="201"/>
    </row>
    <row r="230">
      <c r="A230" s="202"/>
      <c r="B230" s="202"/>
      <c r="C230" s="201"/>
    </row>
    <row r="231">
      <c r="A231" s="202"/>
      <c r="B231" s="202"/>
      <c r="C231" s="201"/>
    </row>
    <row r="232">
      <c r="A232" s="202"/>
      <c r="B232" s="202"/>
      <c r="C232" s="201"/>
    </row>
    <row r="233">
      <c r="A233" s="202"/>
      <c r="B233" s="202"/>
      <c r="C233" s="201"/>
    </row>
    <row r="234">
      <c r="A234" s="202"/>
      <c r="B234" s="202"/>
      <c r="C234" s="201"/>
    </row>
    <row r="235">
      <c r="A235" s="202"/>
      <c r="B235" s="202"/>
      <c r="C235" s="201"/>
    </row>
    <row r="236">
      <c r="A236" s="202"/>
      <c r="B236" s="202"/>
      <c r="C236" s="201"/>
    </row>
    <row r="237">
      <c r="A237" s="202"/>
      <c r="B237" s="202"/>
      <c r="C237" s="201"/>
    </row>
    <row r="238">
      <c r="A238" s="202"/>
      <c r="B238" s="202"/>
      <c r="C238" s="201"/>
    </row>
    <row r="239">
      <c r="A239" s="202"/>
      <c r="B239" s="202"/>
      <c r="C239" s="201"/>
    </row>
    <row r="240">
      <c r="A240" s="202"/>
      <c r="B240" s="202"/>
      <c r="C240" s="201"/>
    </row>
    <row r="241">
      <c r="A241" s="202"/>
      <c r="B241" s="202"/>
      <c r="C241" s="201"/>
    </row>
    <row r="242">
      <c r="A242" s="202"/>
      <c r="B242" s="202"/>
      <c r="C242" s="201"/>
    </row>
    <row r="243">
      <c r="A243" s="202"/>
      <c r="B243" s="202"/>
      <c r="C243" s="201"/>
    </row>
    <row r="244">
      <c r="A244" s="202"/>
      <c r="B244" s="202"/>
      <c r="C244" s="201"/>
    </row>
    <row r="245">
      <c r="A245" s="202"/>
      <c r="B245" s="202"/>
      <c r="C245" s="201"/>
    </row>
    <row r="246">
      <c r="A246" s="202"/>
      <c r="B246" s="202"/>
      <c r="C246" s="201"/>
    </row>
    <row r="247">
      <c r="A247" s="202"/>
      <c r="B247" s="202"/>
      <c r="C247" s="201"/>
    </row>
    <row r="248">
      <c r="A248" s="202"/>
      <c r="B248" s="202"/>
      <c r="C248" s="201"/>
    </row>
    <row r="249">
      <c r="A249" s="202"/>
      <c r="B249" s="202"/>
      <c r="C249" s="201"/>
    </row>
    <row r="250">
      <c r="A250" s="202"/>
      <c r="B250" s="202"/>
      <c r="C250" s="201"/>
    </row>
    <row r="251">
      <c r="A251" s="202"/>
      <c r="B251" s="202"/>
      <c r="C251" s="201"/>
    </row>
    <row r="252">
      <c r="A252" s="202"/>
      <c r="B252" s="202"/>
      <c r="C252" s="201"/>
    </row>
    <row r="253">
      <c r="A253" s="202"/>
      <c r="B253" s="202"/>
      <c r="C253" s="201"/>
    </row>
    <row r="254">
      <c r="A254" s="202"/>
      <c r="B254" s="202"/>
      <c r="C254" s="201"/>
    </row>
    <row r="255">
      <c r="A255" s="202"/>
      <c r="B255" s="202"/>
      <c r="C255" s="201"/>
    </row>
    <row r="256">
      <c r="A256" s="202"/>
      <c r="B256" s="202"/>
      <c r="C256" s="201"/>
    </row>
    <row r="257">
      <c r="A257" s="202"/>
      <c r="B257" s="202"/>
      <c r="C257" s="201"/>
    </row>
    <row r="258">
      <c r="A258" s="202"/>
      <c r="B258" s="202"/>
      <c r="C258" s="201"/>
    </row>
    <row r="259">
      <c r="A259" s="202"/>
      <c r="B259" s="202"/>
      <c r="C259" s="201"/>
    </row>
    <row r="260">
      <c r="A260" s="202"/>
      <c r="B260" s="202"/>
      <c r="C260" s="201"/>
    </row>
    <row r="261">
      <c r="A261" s="202"/>
      <c r="B261" s="202"/>
      <c r="C261" s="201"/>
    </row>
    <row r="262">
      <c r="A262" s="202"/>
      <c r="B262" s="202"/>
      <c r="C262" s="201"/>
    </row>
    <row r="263">
      <c r="A263" s="202"/>
      <c r="B263" s="202"/>
      <c r="C263" s="201"/>
    </row>
    <row r="264">
      <c r="A264" s="202"/>
      <c r="B264" s="202"/>
      <c r="C264" s="201"/>
    </row>
    <row r="265">
      <c r="A265" s="202"/>
      <c r="B265" s="202"/>
      <c r="C265" s="201"/>
    </row>
    <row r="266">
      <c r="A266" s="202"/>
      <c r="B266" s="202"/>
      <c r="C266" s="201"/>
    </row>
    <row r="267">
      <c r="A267" s="202"/>
      <c r="B267" s="202"/>
      <c r="C267" s="201"/>
    </row>
    <row r="268">
      <c r="A268" s="202"/>
      <c r="B268" s="202"/>
      <c r="C268" s="201"/>
    </row>
    <row r="269">
      <c r="A269" s="202"/>
      <c r="B269" s="202"/>
      <c r="C269" s="201"/>
    </row>
    <row r="270">
      <c r="A270" s="202"/>
      <c r="B270" s="202"/>
      <c r="C270" s="201"/>
    </row>
    <row r="271">
      <c r="A271" s="202"/>
      <c r="B271" s="202"/>
      <c r="C271" s="201"/>
    </row>
    <row r="272">
      <c r="A272" s="202"/>
      <c r="B272" s="202"/>
      <c r="C272" s="201"/>
    </row>
    <row r="273">
      <c r="A273" s="202"/>
      <c r="B273" s="202"/>
      <c r="C273" s="201"/>
    </row>
    <row r="274">
      <c r="A274" s="202"/>
      <c r="B274" s="202"/>
      <c r="C274" s="201"/>
    </row>
    <row r="275">
      <c r="A275" s="202"/>
      <c r="B275" s="202"/>
      <c r="C275" s="201"/>
    </row>
    <row r="276">
      <c r="A276" s="202"/>
      <c r="B276" s="202"/>
      <c r="C276" s="201"/>
    </row>
    <row r="277">
      <c r="A277" s="202"/>
      <c r="B277" s="202"/>
      <c r="C277" s="201"/>
    </row>
    <row r="278">
      <c r="A278" s="202"/>
      <c r="B278" s="202"/>
      <c r="C278" s="201"/>
    </row>
    <row r="279">
      <c r="A279" s="202"/>
      <c r="B279" s="202"/>
      <c r="C279" s="201"/>
    </row>
    <row r="280">
      <c r="A280" s="202"/>
      <c r="B280" s="202"/>
      <c r="C280" s="201"/>
    </row>
    <row r="281">
      <c r="A281" s="202"/>
      <c r="B281" s="202"/>
      <c r="C281" s="201"/>
    </row>
    <row r="282">
      <c r="A282" s="202"/>
      <c r="B282" s="202"/>
      <c r="C282" s="201"/>
    </row>
    <row r="283">
      <c r="A283" s="202"/>
      <c r="B283" s="202"/>
      <c r="C283" s="201"/>
    </row>
    <row r="284">
      <c r="A284" s="202"/>
      <c r="B284" s="202"/>
      <c r="C284" s="201"/>
    </row>
    <row r="285">
      <c r="A285" s="202"/>
      <c r="B285" s="202"/>
      <c r="C285" s="201"/>
    </row>
    <row r="286">
      <c r="A286" s="202"/>
      <c r="B286" s="202"/>
      <c r="C286" s="201"/>
    </row>
    <row r="287">
      <c r="A287" s="202"/>
      <c r="B287" s="202"/>
      <c r="C287" s="201"/>
    </row>
    <row r="288">
      <c r="A288" s="202"/>
      <c r="B288" s="202"/>
      <c r="C288" s="201"/>
    </row>
    <row r="289">
      <c r="A289" s="202"/>
      <c r="B289" s="202"/>
      <c r="C289" s="201"/>
    </row>
    <row r="290">
      <c r="A290" s="202"/>
      <c r="B290" s="202"/>
      <c r="C290" s="201"/>
    </row>
    <row r="291">
      <c r="A291" s="202"/>
      <c r="B291" s="202"/>
      <c r="C291" s="201"/>
    </row>
    <row r="292">
      <c r="A292" s="202"/>
      <c r="B292" s="202"/>
      <c r="C292" s="201"/>
    </row>
    <row r="293">
      <c r="A293" s="202"/>
      <c r="B293" s="202"/>
      <c r="C293" s="201"/>
    </row>
    <row r="294">
      <c r="A294" s="202"/>
      <c r="B294" s="202"/>
      <c r="C294" s="201"/>
    </row>
    <row r="295">
      <c r="A295" s="202"/>
      <c r="B295" s="202"/>
      <c r="C295" s="201"/>
    </row>
    <row r="296">
      <c r="A296" s="202"/>
      <c r="B296" s="202"/>
      <c r="C296" s="201"/>
    </row>
    <row r="297">
      <c r="A297" s="202"/>
      <c r="B297" s="202"/>
      <c r="C297" s="201"/>
    </row>
    <row r="298">
      <c r="A298" s="202"/>
      <c r="B298" s="202"/>
      <c r="C298" s="201"/>
    </row>
    <row r="299">
      <c r="A299" s="202"/>
      <c r="B299" s="202"/>
      <c r="C299" s="201"/>
    </row>
    <row r="300">
      <c r="A300" s="202"/>
      <c r="B300" s="202"/>
      <c r="C300" s="201"/>
    </row>
    <row r="301">
      <c r="A301" s="202"/>
      <c r="B301" s="202"/>
      <c r="C301" s="201"/>
    </row>
    <row r="302">
      <c r="A302" s="202"/>
      <c r="B302" s="202"/>
      <c r="C302" s="201"/>
    </row>
    <row r="303">
      <c r="A303" s="202"/>
      <c r="B303" s="202"/>
      <c r="C303" s="201"/>
    </row>
    <row r="304">
      <c r="A304" s="202"/>
      <c r="B304" s="202"/>
      <c r="C304" s="201"/>
    </row>
    <row r="305">
      <c r="A305" s="202"/>
      <c r="B305" s="202"/>
      <c r="C305" s="201"/>
    </row>
    <row r="306">
      <c r="A306" s="202"/>
      <c r="B306" s="202"/>
      <c r="C306" s="201"/>
    </row>
    <row r="307">
      <c r="A307" s="202"/>
      <c r="B307" s="202"/>
      <c r="C307" s="201"/>
    </row>
    <row r="308">
      <c r="A308" s="202"/>
      <c r="B308" s="202"/>
      <c r="C308" s="201"/>
    </row>
    <row r="309">
      <c r="A309" s="202"/>
      <c r="B309" s="202"/>
      <c r="C309" s="201"/>
    </row>
    <row r="310">
      <c r="A310" s="202"/>
      <c r="B310" s="202"/>
      <c r="C310" s="201"/>
    </row>
    <row r="311">
      <c r="A311" s="202"/>
      <c r="B311" s="202"/>
      <c r="C311" s="201"/>
    </row>
    <row r="312">
      <c r="A312" s="202"/>
      <c r="B312" s="202"/>
      <c r="C312" s="201"/>
    </row>
    <row r="313">
      <c r="A313" s="202"/>
      <c r="B313" s="202"/>
      <c r="C313" s="201"/>
    </row>
    <row r="314">
      <c r="A314" s="202"/>
      <c r="B314" s="202"/>
      <c r="C314" s="201"/>
    </row>
    <row r="315">
      <c r="A315" s="202"/>
      <c r="B315" s="202"/>
      <c r="C315" s="201"/>
    </row>
    <row r="316">
      <c r="A316" s="202"/>
      <c r="B316" s="202"/>
      <c r="C316" s="201"/>
    </row>
    <row r="317">
      <c r="A317" s="202"/>
      <c r="B317" s="202"/>
      <c r="C317" s="201"/>
    </row>
    <row r="318">
      <c r="A318" s="202"/>
      <c r="B318" s="202"/>
      <c r="C318" s="201"/>
    </row>
    <row r="319">
      <c r="A319" s="202"/>
      <c r="B319" s="202"/>
      <c r="C319" s="201"/>
    </row>
    <row r="320">
      <c r="A320" s="202"/>
      <c r="B320" s="202"/>
      <c r="C320" s="201"/>
    </row>
    <row r="321">
      <c r="A321" s="202"/>
      <c r="B321" s="202"/>
      <c r="C321" s="201"/>
    </row>
    <row r="322">
      <c r="A322" s="202"/>
      <c r="B322" s="202"/>
      <c r="C322" s="201"/>
    </row>
    <row r="323">
      <c r="A323" s="202"/>
      <c r="B323" s="202"/>
      <c r="C323" s="201"/>
    </row>
    <row r="324">
      <c r="A324" s="202"/>
      <c r="B324" s="202"/>
      <c r="C324" s="201"/>
    </row>
    <row r="325">
      <c r="A325" s="202"/>
      <c r="B325" s="202"/>
      <c r="C325" s="201"/>
    </row>
    <row r="326">
      <c r="A326" s="202"/>
      <c r="B326" s="202"/>
      <c r="C326" s="201"/>
    </row>
    <row r="327">
      <c r="A327" s="202"/>
      <c r="B327" s="202"/>
      <c r="C327" s="201"/>
    </row>
    <row r="328">
      <c r="A328" s="202"/>
      <c r="B328" s="202"/>
      <c r="C328" s="201"/>
    </row>
    <row r="329">
      <c r="A329" s="202"/>
      <c r="B329" s="202"/>
      <c r="C329" s="201"/>
    </row>
    <row r="330">
      <c r="A330" s="202"/>
      <c r="B330" s="202"/>
      <c r="C330" s="201"/>
    </row>
    <row r="331">
      <c r="A331" s="202"/>
      <c r="B331" s="202"/>
      <c r="C331" s="201"/>
    </row>
    <row r="332">
      <c r="A332" s="202"/>
      <c r="B332" s="202"/>
      <c r="C332" s="201"/>
    </row>
    <row r="333">
      <c r="A333" s="202"/>
      <c r="B333" s="202"/>
      <c r="C333" s="201"/>
    </row>
    <row r="334">
      <c r="A334" s="202"/>
      <c r="B334" s="202"/>
      <c r="C334" s="201"/>
    </row>
    <row r="335">
      <c r="A335" s="202"/>
      <c r="B335" s="202"/>
      <c r="C335" s="201"/>
    </row>
    <row r="336">
      <c r="A336" s="202"/>
      <c r="B336" s="202"/>
      <c r="C336" s="201"/>
    </row>
    <row r="337">
      <c r="A337" s="202"/>
      <c r="B337" s="202"/>
      <c r="C337" s="201"/>
    </row>
    <row r="338">
      <c r="A338" s="202"/>
      <c r="B338" s="202"/>
      <c r="C338" s="201"/>
    </row>
    <row r="339">
      <c r="A339" s="202"/>
      <c r="B339" s="202"/>
      <c r="C339" s="201"/>
    </row>
    <row r="340">
      <c r="A340" s="202"/>
      <c r="B340" s="202"/>
      <c r="C340" s="201"/>
    </row>
    <row r="341">
      <c r="A341" s="202"/>
      <c r="B341" s="202"/>
      <c r="C341" s="201"/>
    </row>
    <row r="342">
      <c r="A342" s="202"/>
      <c r="B342" s="202"/>
      <c r="C342" s="201"/>
    </row>
    <row r="343">
      <c r="A343" s="202"/>
      <c r="B343" s="202"/>
      <c r="C343" s="201"/>
    </row>
    <row r="344">
      <c r="A344" s="202"/>
      <c r="B344" s="202"/>
      <c r="C344" s="201"/>
    </row>
    <row r="345">
      <c r="A345" s="202"/>
      <c r="B345" s="202"/>
      <c r="C345" s="201"/>
    </row>
    <row r="346">
      <c r="A346" s="202"/>
      <c r="B346" s="202"/>
      <c r="C346" s="201"/>
    </row>
    <row r="347">
      <c r="A347" s="202"/>
      <c r="B347" s="202"/>
      <c r="C347" s="201"/>
    </row>
    <row r="348">
      <c r="A348" s="202"/>
      <c r="B348" s="202"/>
      <c r="C348" s="201"/>
    </row>
    <row r="349">
      <c r="A349" s="202"/>
      <c r="B349" s="202"/>
      <c r="C349" s="201"/>
    </row>
    <row r="350">
      <c r="A350" s="202"/>
      <c r="B350" s="202"/>
      <c r="C350" s="201"/>
    </row>
    <row r="351">
      <c r="A351" s="202"/>
      <c r="B351" s="202"/>
      <c r="C351" s="201"/>
    </row>
    <row r="352">
      <c r="A352" s="202"/>
      <c r="B352" s="202"/>
      <c r="C352" s="201"/>
    </row>
    <row r="353">
      <c r="A353" s="202"/>
      <c r="B353" s="202"/>
      <c r="C353" s="201"/>
    </row>
    <row r="354">
      <c r="A354" s="202"/>
      <c r="B354" s="202"/>
      <c r="C354" s="201"/>
    </row>
    <row r="355">
      <c r="A355" s="202"/>
      <c r="B355" s="202"/>
      <c r="C355" s="201"/>
    </row>
    <row r="356">
      <c r="A356" s="202"/>
      <c r="B356" s="202"/>
      <c r="C356" s="201"/>
    </row>
    <row r="357">
      <c r="A357" s="202"/>
      <c r="B357" s="202"/>
      <c r="C357" s="201"/>
    </row>
    <row r="358">
      <c r="A358" s="202"/>
      <c r="B358" s="202"/>
      <c r="C358" s="201"/>
    </row>
    <row r="359">
      <c r="A359" s="202"/>
      <c r="B359" s="202"/>
      <c r="C359" s="201"/>
    </row>
    <row r="360">
      <c r="A360" s="202"/>
      <c r="B360" s="202"/>
      <c r="C360" s="201"/>
    </row>
    <row r="361">
      <c r="A361" s="202"/>
      <c r="B361" s="202"/>
      <c r="C361" s="201"/>
    </row>
    <row r="362">
      <c r="A362" s="202"/>
      <c r="B362" s="202"/>
      <c r="C362" s="201"/>
    </row>
    <row r="363">
      <c r="A363" s="202"/>
      <c r="B363" s="202"/>
      <c r="C363" s="201"/>
    </row>
    <row r="364">
      <c r="A364" s="202"/>
      <c r="B364" s="202"/>
      <c r="C364" s="201"/>
    </row>
    <row r="365">
      <c r="A365" s="202"/>
      <c r="B365" s="202"/>
      <c r="C365" s="201"/>
    </row>
    <row r="366">
      <c r="A366" s="202"/>
      <c r="B366" s="202"/>
      <c r="C366" s="201"/>
    </row>
    <row r="367">
      <c r="A367" s="202"/>
      <c r="B367" s="202"/>
      <c r="C367" s="201"/>
    </row>
    <row r="368">
      <c r="A368" s="202"/>
      <c r="B368" s="202"/>
      <c r="C368" s="201"/>
    </row>
    <row r="369">
      <c r="A369" s="202"/>
      <c r="B369" s="202"/>
      <c r="C369" s="201"/>
    </row>
    <row r="370">
      <c r="A370" s="202"/>
      <c r="B370" s="202"/>
      <c r="C370" s="201"/>
    </row>
    <row r="371">
      <c r="A371" s="202"/>
      <c r="B371" s="202"/>
      <c r="C371" s="201"/>
    </row>
    <row r="372">
      <c r="A372" s="202"/>
      <c r="B372" s="202"/>
      <c r="C372" s="201"/>
    </row>
    <row r="373">
      <c r="A373" s="202"/>
      <c r="B373" s="202"/>
      <c r="C373" s="201"/>
    </row>
    <row r="374">
      <c r="A374" s="202"/>
      <c r="B374" s="202"/>
      <c r="C374" s="201"/>
    </row>
    <row r="375">
      <c r="A375" s="202"/>
      <c r="B375" s="202"/>
      <c r="C375" s="201"/>
    </row>
    <row r="376">
      <c r="A376" s="202"/>
      <c r="B376" s="202"/>
      <c r="C376" s="201"/>
    </row>
    <row r="377">
      <c r="A377" s="202"/>
      <c r="B377" s="202"/>
      <c r="C377" s="201"/>
    </row>
    <row r="378">
      <c r="A378" s="202"/>
      <c r="B378" s="202"/>
      <c r="C378" s="201"/>
    </row>
    <row r="379">
      <c r="A379" s="202"/>
      <c r="B379" s="202"/>
      <c r="C379" s="201"/>
    </row>
    <row r="380">
      <c r="A380" s="202"/>
      <c r="B380" s="202"/>
      <c r="C380" s="201"/>
    </row>
    <row r="381">
      <c r="A381" s="202"/>
      <c r="B381" s="202"/>
      <c r="C381" s="201"/>
    </row>
    <row r="382">
      <c r="A382" s="202"/>
      <c r="B382" s="202"/>
      <c r="C382" s="201"/>
    </row>
    <row r="383">
      <c r="A383" s="202"/>
      <c r="B383" s="202"/>
      <c r="C383" s="201"/>
    </row>
    <row r="384">
      <c r="A384" s="202"/>
      <c r="B384" s="202"/>
      <c r="C384" s="201"/>
    </row>
    <row r="385">
      <c r="A385" s="202"/>
      <c r="B385" s="202"/>
      <c r="C385" s="201"/>
    </row>
    <row r="386">
      <c r="A386" s="202"/>
      <c r="B386" s="202"/>
      <c r="C386" s="201"/>
    </row>
    <row r="387">
      <c r="A387" s="202"/>
      <c r="B387" s="202"/>
      <c r="C387" s="201"/>
    </row>
    <row r="388">
      <c r="A388" s="202"/>
      <c r="B388" s="202"/>
      <c r="C388" s="201"/>
    </row>
    <row r="389">
      <c r="A389" s="202"/>
      <c r="B389" s="202"/>
      <c r="C389" s="201"/>
    </row>
    <row r="390">
      <c r="A390" s="202"/>
      <c r="B390" s="202"/>
      <c r="C390" s="201"/>
    </row>
    <row r="391">
      <c r="A391" s="202"/>
      <c r="B391" s="202"/>
      <c r="C391" s="201"/>
    </row>
    <row r="392">
      <c r="A392" s="202"/>
      <c r="B392" s="202"/>
      <c r="C392" s="201"/>
    </row>
    <row r="393">
      <c r="A393" s="202"/>
      <c r="B393" s="202"/>
      <c r="C393" s="201"/>
    </row>
    <row r="394">
      <c r="A394" s="202"/>
      <c r="B394" s="202"/>
      <c r="C394" s="201"/>
    </row>
    <row r="395">
      <c r="A395" s="202"/>
      <c r="B395" s="202"/>
      <c r="C395" s="201"/>
    </row>
    <row r="396">
      <c r="A396" s="202"/>
      <c r="B396" s="202"/>
      <c r="C396" s="201"/>
    </row>
    <row r="397">
      <c r="A397" s="202"/>
      <c r="B397" s="202"/>
      <c r="C397" s="201"/>
    </row>
    <row r="398">
      <c r="A398" s="202"/>
      <c r="B398" s="202"/>
      <c r="C398" s="201"/>
    </row>
    <row r="399">
      <c r="A399" s="202"/>
      <c r="B399" s="202"/>
      <c r="C399" s="201"/>
    </row>
    <row r="400">
      <c r="A400" s="202"/>
      <c r="B400" s="202"/>
      <c r="C400" s="201"/>
    </row>
    <row r="401">
      <c r="A401" s="202"/>
      <c r="B401" s="202"/>
      <c r="C401" s="201"/>
    </row>
    <row r="402">
      <c r="A402" s="202"/>
      <c r="B402" s="202"/>
      <c r="C402" s="201"/>
    </row>
    <row r="403">
      <c r="A403" s="202"/>
      <c r="B403" s="202"/>
      <c r="C403" s="201"/>
    </row>
    <row r="404">
      <c r="A404" s="202"/>
      <c r="B404" s="202"/>
      <c r="C404" s="201"/>
    </row>
    <row r="405">
      <c r="A405" s="202"/>
      <c r="B405" s="202"/>
      <c r="C405" s="201"/>
    </row>
    <row r="406">
      <c r="A406" s="202"/>
      <c r="B406" s="202"/>
      <c r="C406" s="201"/>
    </row>
    <row r="407">
      <c r="A407" s="202"/>
      <c r="B407" s="202"/>
      <c r="C407" s="201"/>
    </row>
    <row r="408">
      <c r="A408" s="202"/>
      <c r="B408" s="202"/>
      <c r="C408" s="201"/>
    </row>
    <row r="409">
      <c r="A409" s="202"/>
      <c r="B409" s="202"/>
      <c r="C409" s="201"/>
    </row>
    <row r="410">
      <c r="A410" s="202"/>
      <c r="B410" s="202"/>
      <c r="C410" s="201"/>
    </row>
    <row r="411">
      <c r="A411" s="202"/>
      <c r="B411" s="202"/>
      <c r="C411" s="201"/>
    </row>
    <row r="412">
      <c r="A412" s="202"/>
      <c r="B412" s="202"/>
      <c r="C412" s="201"/>
    </row>
    <row r="413">
      <c r="A413" s="202"/>
      <c r="B413" s="202"/>
      <c r="C413" s="201"/>
    </row>
    <row r="414">
      <c r="A414" s="202"/>
      <c r="B414" s="202"/>
      <c r="C414" s="201"/>
    </row>
    <row r="415">
      <c r="A415" s="202"/>
      <c r="B415" s="202"/>
      <c r="C415" s="201"/>
    </row>
    <row r="416">
      <c r="A416" s="202"/>
      <c r="B416" s="202"/>
      <c r="C416" s="201"/>
    </row>
    <row r="417">
      <c r="A417" s="202"/>
      <c r="B417" s="202"/>
      <c r="C417" s="201"/>
    </row>
    <row r="418">
      <c r="A418" s="202"/>
      <c r="B418" s="202"/>
      <c r="C418" s="201"/>
    </row>
    <row r="419">
      <c r="A419" s="202"/>
      <c r="B419" s="202"/>
      <c r="C419" s="201"/>
    </row>
    <row r="420">
      <c r="A420" s="202"/>
      <c r="B420" s="202"/>
      <c r="C420" s="201"/>
    </row>
    <row r="421">
      <c r="A421" s="202"/>
      <c r="B421" s="202"/>
      <c r="C421" s="201"/>
    </row>
    <row r="422">
      <c r="A422" s="202"/>
      <c r="B422" s="202"/>
      <c r="C422" s="201"/>
    </row>
    <row r="423">
      <c r="A423" s="202"/>
      <c r="B423" s="202"/>
      <c r="C423" s="201"/>
    </row>
    <row r="424">
      <c r="A424" s="202"/>
      <c r="B424" s="202"/>
      <c r="C424" s="201"/>
    </row>
    <row r="425">
      <c r="A425" s="202"/>
      <c r="B425" s="202"/>
      <c r="C425" s="201"/>
    </row>
    <row r="426">
      <c r="A426" s="202"/>
      <c r="B426" s="202"/>
      <c r="C426" s="201"/>
    </row>
    <row r="427">
      <c r="A427" s="202"/>
      <c r="B427" s="202"/>
      <c r="C427" s="201"/>
    </row>
    <row r="428">
      <c r="A428" s="202"/>
      <c r="B428" s="202"/>
      <c r="C428" s="201"/>
    </row>
    <row r="429">
      <c r="A429" s="202"/>
      <c r="B429" s="202"/>
      <c r="C429" s="201"/>
    </row>
    <row r="430">
      <c r="A430" s="202"/>
      <c r="B430" s="202"/>
      <c r="C430" s="201"/>
    </row>
    <row r="431">
      <c r="A431" s="202"/>
      <c r="B431" s="202"/>
      <c r="C431" s="201"/>
    </row>
    <row r="432">
      <c r="A432" s="202"/>
      <c r="B432" s="202"/>
      <c r="C432" s="201"/>
    </row>
    <row r="433">
      <c r="A433" s="202"/>
      <c r="B433" s="202"/>
      <c r="C433" s="201"/>
    </row>
    <row r="434">
      <c r="A434" s="202"/>
      <c r="B434" s="202"/>
      <c r="C434" s="201"/>
    </row>
    <row r="435">
      <c r="A435" s="202"/>
      <c r="B435" s="202"/>
      <c r="C435" s="201"/>
    </row>
    <row r="436">
      <c r="A436" s="202"/>
      <c r="B436" s="202"/>
      <c r="C436" s="201"/>
    </row>
    <row r="437">
      <c r="A437" s="202"/>
      <c r="B437" s="202"/>
      <c r="C437" s="201"/>
    </row>
    <row r="438">
      <c r="A438" s="202"/>
      <c r="B438" s="202"/>
      <c r="C438" s="201"/>
    </row>
    <row r="439">
      <c r="A439" s="202"/>
      <c r="B439" s="202"/>
      <c r="C439" s="201"/>
    </row>
    <row r="440">
      <c r="A440" s="202"/>
      <c r="B440" s="202"/>
      <c r="C440" s="201"/>
    </row>
    <row r="441">
      <c r="A441" s="202"/>
      <c r="B441" s="202"/>
      <c r="C441" s="201"/>
    </row>
    <row r="442">
      <c r="A442" s="202"/>
      <c r="B442" s="202"/>
      <c r="C442" s="201"/>
    </row>
    <row r="443">
      <c r="A443" s="202"/>
      <c r="B443" s="202"/>
      <c r="C443" s="201"/>
    </row>
    <row r="444">
      <c r="A444" s="202"/>
      <c r="B444" s="202"/>
      <c r="C444" s="201"/>
    </row>
    <row r="445">
      <c r="A445" s="202"/>
      <c r="B445" s="202"/>
      <c r="C445" s="201"/>
    </row>
    <row r="446">
      <c r="A446" s="202"/>
      <c r="B446" s="202"/>
      <c r="C446" s="201"/>
    </row>
    <row r="447">
      <c r="A447" s="202"/>
      <c r="B447" s="202"/>
      <c r="C447" s="201"/>
    </row>
    <row r="448">
      <c r="A448" s="202"/>
      <c r="B448" s="202"/>
      <c r="C448" s="201"/>
    </row>
    <row r="449">
      <c r="A449" s="202"/>
      <c r="B449" s="202"/>
      <c r="C449" s="201"/>
    </row>
    <row r="450">
      <c r="A450" s="202"/>
      <c r="B450" s="202"/>
      <c r="C450" s="201"/>
    </row>
    <row r="451">
      <c r="A451" s="202"/>
      <c r="B451" s="202"/>
      <c r="C451" s="201"/>
    </row>
    <row r="452">
      <c r="A452" s="202"/>
      <c r="B452" s="202"/>
      <c r="C452" s="201"/>
    </row>
    <row r="453">
      <c r="A453" s="202"/>
      <c r="B453" s="202"/>
      <c r="C453" s="201"/>
    </row>
    <row r="454">
      <c r="A454" s="202"/>
      <c r="B454" s="202"/>
      <c r="C454" s="201"/>
    </row>
    <row r="455">
      <c r="A455" s="202"/>
      <c r="B455" s="202"/>
      <c r="C455" s="201"/>
    </row>
    <row r="456">
      <c r="A456" s="202"/>
      <c r="B456" s="202"/>
      <c r="C456" s="201"/>
    </row>
    <row r="457">
      <c r="A457" s="202"/>
      <c r="B457" s="202"/>
      <c r="C457" s="201"/>
    </row>
    <row r="458">
      <c r="A458" s="202"/>
      <c r="B458" s="202"/>
      <c r="C458" s="201"/>
    </row>
    <row r="459">
      <c r="A459" s="202"/>
      <c r="B459" s="202"/>
      <c r="C459" s="201"/>
    </row>
    <row r="460">
      <c r="A460" s="202"/>
      <c r="B460" s="202"/>
      <c r="C460" s="201"/>
    </row>
    <row r="461">
      <c r="A461" s="202"/>
      <c r="B461" s="202"/>
      <c r="C461" s="201"/>
    </row>
    <row r="462">
      <c r="A462" s="202"/>
      <c r="B462" s="202"/>
      <c r="C462" s="201"/>
    </row>
    <row r="463">
      <c r="A463" s="202"/>
      <c r="B463" s="202"/>
      <c r="C463" s="201"/>
    </row>
    <row r="464">
      <c r="A464" s="202"/>
      <c r="B464" s="202"/>
      <c r="C464" s="201"/>
    </row>
    <row r="465">
      <c r="A465" s="202"/>
      <c r="B465" s="202"/>
      <c r="C465" s="201"/>
    </row>
    <row r="466">
      <c r="A466" s="202"/>
      <c r="B466" s="202"/>
      <c r="C466" s="201"/>
    </row>
    <row r="467">
      <c r="A467" s="202"/>
      <c r="B467" s="202"/>
      <c r="C467" s="201"/>
    </row>
    <row r="468">
      <c r="A468" s="202"/>
      <c r="B468" s="202"/>
      <c r="C468" s="201"/>
    </row>
    <row r="469">
      <c r="A469" s="202"/>
      <c r="B469" s="202"/>
      <c r="C469" s="201"/>
    </row>
    <row r="470">
      <c r="A470" s="202"/>
      <c r="B470" s="202"/>
      <c r="C470" s="201"/>
    </row>
    <row r="471">
      <c r="A471" s="202"/>
      <c r="B471" s="202"/>
      <c r="C471" s="201"/>
    </row>
    <row r="472">
      <c r="A472" s="202"/>
      <c r="B472" s="202"/>
      <c r="C472" s="201"/>
    </row>
    <row r="473">
      <c r="A473" s="202"/>
      <c r="B473" s="202"/>
      <c r="C473" s="201"/>
    </row>
    <row r="474">
      <c r="A474" s="202"/>
      <c r="B474" s="202"/>
      <c r="C474" s="201"/>
    </row>
    <row r="475">
      <c r="A475" s="202"/>
      <c r="B475" s="202"/>
      <c r="C475" s="201"/>
    </row>
    <row r="476">
      <c r="A476" s="202"/>
      <c r="B476" s="202"/>
      <c r="C476" s="201"/>
    </row>
    <row r="477">
      <c r="A477" s="202"/>
      <c r="B477" s="202"/>
      <c r="C477" s="201"/>
    </row>
    <row r="478">
      <c r="A478" s="202"/>
      <c r="B478" s="202"/>
      <c r="C478" s="201"/>
    </row>
    <row r="479">
      <c r="A479" s="202"/>
      <c r="B479" s="202"/>
      <c r="C479" s="201"/>
    </row>
    <row r="480">
      <c r="A480" s="202"/>
      <c r="B480" s="202"/>
      <c r="C480" s="201"/>
    </row>
    <row r="481">
      <c r="A481" s="202"/>
      <c r="B481" s="202"/>
      <c r="C481" s="201"/>
    </row>
    <row r="482">
      <c r="A482" s="202"/>
      <c r="B482" s="202"/>
      <c r="C482" s="201"/>
    </row>
    <row r="483">
      <c r="A483" s="202"/>
      <c r="B483" s="202"/>
      <c r="C483" s="201"/>
    </row>
    <row r="484">
      <c r="A484" s="202"/>
      <c r="B484" s="202"/>
      <c r="C484" s="201"/>
    </row>
    <row r="485">
      <c r="A485" s="202"/>
      <c r="B485" s="202"/>
      <c r="C485" s="201"/>
    </row>
    <row r="486">
      <c r="A486" s="202"/>
      <c r="B486" s="202"/>
      <c r="C486" s="201"/>
    </row>
    <row r="487">
      <c r="A487" s="202"/>
      <c r="B487" s="202"/>
      <c r="C487" s="201"/>
    </row>
    <row r="488">
      <c r="A488" s="202"/>
      <c r="B488" s="202"/>
      <c r="C488" s="201"/>
    </row>
    <row r="489">
      <c r="A489" s="202"/>
      <c r="B489" s="202"/>
      <c r="C489" s="201"/>
    </row>
    <row r="490">
      <c r="A490" s="202"/>
      <c r="B490" s="202"/>
      <c r="C490" s="201"/>
    </row>
    <row r="491">
      <c r="A491" s="202"/>
      <c r="B491" s="202"/>
      <c r="C491" s="201"/>
    </row>
    <row r="492">
      <c r="A492" s="202"/>
      <c r="B492" s="202"/>
      <c r="C492" s="201"/>
    </row>
    <row r="493">
      <c r="A493" s="202"/>
      <c r="B493" s="202"/>
      <c r="C493" s="201"/>
    </row>
    <row r="494">
      <c r="A494" s="202"/>
      <c r="B494" s="202"/>
      <c r="C494" s="201"/>
    </row>
    <row r="495">
      <c r="A495" s="202"/>
      <c r="B495" s="202"/>
      <c r="C495" s="201"/>
    </row>
    <row r="496">
      <c r="A496" s="202"/>
      <c r="B496" s="202"/>
      <c r="C496" s="201"/>
    </row>
    <row r="497">
      <c r="A497" s="202"/>
      <c r="B497" s="202"/>
      <c r="C497" s="201"/>
    </row>
    <row r="498">
      <c r="A498" s="202"/>
      <c r="B498" s="202"/>
      <c r="C498" s="201"/>
    </row>
    <row r="499">
      <c r="A499" s="202"/>
      <c r="B499" s="202"/>
      <c r="C499" s="201"/>
    </row>
    <row r="500">
      <c r="A500" s="202"/>
      <c r="B500" s="202"/>
      <c r="C500" s="201"/>
    </row>
    <row r="501">
      <c r="A501" s="202"/>
      <c r="B501" s="202"/>
      <c r="C501" s="201"/>
    </row>
    <row r="502">
      <c r="A502" s="202"/>
      <c r="B502" s="202"/>
      <c r="C502" s="201"/>
    </row>
    <row r="503">
      <c r="A503" s="202"/>
      <c r="B503" s="202"/>
      <c r="C503" s="201"/>
    </row>
    <row r="504">
      <c r="A504" s="202"/>
      <c r="B504" s="202"/>
      <c r="C504" s="201"/>
    </row>
    <row r="505">
      <c r="A505" s="202"/>
      <c r="B505" s="202"/>
      <c r="C505" s="201"/>
    </row>
    <row r="506">
      <c r="A506" s="202"/>
      <c r="B506" s="202"/>
      <c r="C506" s="201"/>
    </row>
    <row r="507">
      <c r="A507" s="202"/>
      <c r="B507" s="202"/>
      <c r="C507" s="201"/>
    </row>
    <row r="508">
      <c r="A508" s="202"/>
      <c r="B508" s="202"/>
      <c r="C508" s="201"/>
    </row>
    <row r="509">
      <c r="A509" s="202"/>
      <c r="B509" s="202"/>
      <c r="C509" s="201"/>
    </row>
    <row r="510">
      <c r="A510" s="202"/>
      <c r="B510" s="202"/>
      <c r="C510" s="201"/>
    </row>
    <row r="511">
      <c r="A511" s="202"/>
      <c r="B511" s="202"/>
      <c r="C511" s="201"/>
    </row>
    <row r="512">
      <c r="A512" s="202"/>
      <c r="B512" s="202"/>
      <c r="C512" s="201"/>
    </row>
    <row r="513">
      <c r="A513" s="202"/>
      <c r="B513" s="202"/>
      <c r="C513" s="201"/>
    </row>
    <row r="514">
      <c r="A514" s="202"/>
      <c r="B514" s="202"/>
      <c r="C514" s="201"/>
    </row>
    <row r="515">
      <c r="A515" s="202"/>
      <c r="B515" s="202"/>
      <c r="C515" s="201"/>
    </row>
    <row r="516">
      <c r="A516" s="202"/>
      <c r="B516" s="202"/>
      <c r="C516" s="201"/>
    </row>
    <row r="517">
      <c r="A517" s="202"/>
      <c r="B517" s="202"/>
      <c r="C517" s="201"/>
    </row>
    <row r="518">
      <c r="A518" s="202"/>
      <c r="B518" s="202"/>
      <c r="C518" s="201"/>
    </row>
    <row r="519">
      <c r="A519" s="202"/>
      <c r="B519" s="202"/>
      <c r="C519" s="201"/>
    </row>
    <row r="520">
      <c r="A520" s="202"/>
      <c r="B520" s="202"/>
      <c r="C520" s="201"/>
    </row>
    <row r="521">
      <c r="A521" s="202"/>
      <c r="B521" s="202"/>
      <c r="C521" s="201"/>
    </row>
    <row r="522">
      <c r="A522" s="202"/>
      <c r="B522" s="202"/>
      <c r="C522" s="201"/>
    </row>
    <row r="523">
      <c r="A523" s="202"/>
      <c r="B523" s="202"/>
      <c r="C523" s="201"/>
    </row>
    <row r="524">
      <c r="A524" s="202"/>
      <c r="B524" s="202"/>
      <c r="C524" s="201"/>
    </row>
    <row r="525">
      <c r="A525" s="202"/>
      <c r="B525" s="202"/>
      <c r="C525" s="201"/>
    </row>
    <row r="526">
      <c r="A526" s="202"/>
      <c r="B526" s="202"/>
      <c r="C526" s="201"/>
    </row>
    <row r="527">
      <c r="A527" s="202"/>
      <c r="B527" s="202"/>
      <c r="C527" s="201"/>
    </row>
    <row r="528">
      <c r="A528" s="202"/>
      <c r="B528" s="202"/>
      <c r="C528" s="201"/>
    </row>
    <row r="529">
      <c r="A529" s="202"/>
      <c r="B529" s="202"/>
      <c r="C529" s="201"/>
    </row>
    <row r="530">
      <c r="A530" s="202"/>
      <c r="B530" s="202"/>
      <c r="C530" s="201"/>
    </row>
    <row r="531">
      <c r="A531" s="202"/>
      <c r="B531" s="202"/>
      <c r="C531" s="201"/>
    </row>
    <row r="532">
      <c r="A532" s="202"/>
      <c r="B532" s="202"/>
      <c r="C532" s="201"/>
    </row>
    <row r="533">
      <c r="A533" s="202"/>
      <c r="B533" s="202"/>
      <c r="C533" s="201"/>
    </row>
    <row r="534">
      <c r="A534" s="202"/>
      <c r="B534" s="202"/>
      <c r="C534" s="201"/>
    </row>
    <row r="535">
      <c r="A535" s="202"/>
      <c r="B535" s="202"/>
      <c r="C535" s="201"/>
    </row>
    <row r="536">
      <c r="A536" s="202"/>
      <c r="B536" s="202"/>
      <c r="C536" s="201"/>
    </row>
    <row r="537">
      <c r="A537" s="202"/>
      <c r="B537" s="202"/>
      <c r="C537" s="201"/>
    </row>
    <row r="538">
      <c r="A538" s="202"/>
      <c r="B538" s="202"/>
      <c r="C538" s="201"/>
    </row>
    <row r="539">
      <c r="A539" s="202"/>
      <c r="B539" s="202"/>
      <c r="C539" s="201"/>
    </row>
    <row r="540">
      <c r="A540" s="202"/>
      <c r="B540" s="202"/>
      <c r="C540" s="201"/>
    </row>
    <row r="541">
      <c r="A541" s="202"/>
      <c r="B541" s="202"/>
      <c r="C541" s="201"/>
    </row>
    <row r="542">
      <c r="A542" s="202"/>
      <c r="B542" s="202"/>
      <c r="C542" s="201"/>
    </row>
    <row r="543">
      <c r="A543" s="202"/>
      <c r="B543" s="202"/>
      <c r="C543" s="201"/>
    </row>
    <row r="544">
      <c r="A544" s="202"/>
      <c r="B544" s="202"/>
      <c r="C544" s="201"/>
    </row>
    <row r="545">
      <c r="A545" s="202"/>
      <c r="B545" s="202"/>
      <c r="C545" s="201"/>
    </row>
    <row r="546">
      <c r="A546" s="202"/>
      <c r="B546" s="202"/>
      <c r="C546" s="201"/>
    </row>
    <row r="547">
      <c r="A547" s="202"/>
      <c r="B547" s="202"/>
      <c r="C547" s="201"/>
    </row>
    <row r="548">
      <c r="A548" s="202"/>
      <c r="B548" s="202"/>
      <c r="C548" s="201"/>
    </row>
    <row r="549">
      <c r="A549" s="202"/>
      <c r="B549" s="202"/>
      <c r="C549" s="201"/>
    </row>
    <row r="550">
      <c r="A550" s="202"/>
      <c r="B550" s="202"/>
      <c r="C550" s="201"/>
    </row>
    <row r="551">
      <c r="A551" s="202"/>
      <c r="B551" s="202"/>
      <c r="C551" s="201"/>
    </row>
    <row r="552">
      <c r="A552" s="202"/>
      <c r="B552" s="202"/>
      <c r="C552" s="201"/>
    </row>
    <row r="553">
      <c r="A553" s="202"/>
      <c r="B553" s="202"/>
      <c r="C553" s="201"/>
    </row>
    <row r="554">
      <c r="A554" s="202"/>
      <c r="B554" s="202"/>
      <c r="C554" s="201"/>
    </row>
    <row r="555">
      <c r="A555" s="202"/>
      <c r="B555" s="202"/>
      <c r="C555" s="201"/>
    </row>
    <row r="556">
      <c r="A556" s="202"/>
      <c r="B556" s="202"/>
      <c r="C556" s="201"/>
    </row>
    <row r="557">
      <c r="A557" s="202"/>
      <c r="B557" s="202"/>
      <c r="C557" s="201"/>
    </row>
    <row r="558">
      <c r="A558" s="202"/>
      <c r="B558" s="202"/>
      <c r="C558" s="201"/>
    </row>
    <row r="559">
      <c r="A559" s="202"/>
      <c r="B559" s="202"/>
      <c r="C559" s="201"/>
    </row>
    <row r="560">
      <c r="A560" s="202"/>
      <c r="B560" s="202"/>
      <c r="C560" s="201"/>
    </row>
    <row r="561">
      <c r="A561" s="202"/>
      <c r="B561" s="202"/>
      <c r="C561" s="201"/>
    </row>
    <row r="562">
      <c r="A562" s="202"/>
      <c r="B562" s="202"/>
      <c r="C562" s="201"/>
    </row>
    <row r="563">
      <c r="A563" s="202"/>
      <c r="B563" s="202"/>
      <c r="C563" s="201"/>
    </row>
    <row r="564">
      <c r="A564" s="202"/>
      <c r="B564" s="202"/>
      <c r="C564" s="201"/>
    </row>
    <row r="565">
      <c r="A565" s="202"/>
      <c r="B565" s="202"/>
      <c r="C565" s="201"/>
    </row>
    <row r="566">
      <c r="A566" s="202"/>
      <c r="B566" s="202"/>
      <c r="C566" s="201"/>
    </row>
    <row r="567">
      <c r="A567" s="202"/>
      <c r="B567" s="202"/>
      <c r="C567" s="201"/>
    </row>
    <row r="568">
      <c r="A568" s="202"/>
      <c r="B568" s="202"/>
      <c r="C568" s="201"/>
    </row>
    <row r="569">
      <c r="A569" s="202"/>
      <c r="B569" s="202"/>
      <c r="C569" s="201"/>
    </row>
    <row r="570">
      <c r="A570" s="202"/>
      <c r="B570" s="202"/>
      <c r="C570" s="201"/>
    </row>
    <row r="571">
      <c r="A571" s="202"/>
      <c r="B571" s="202"/>
      <c r="C571" s="201"/>
    </row>
    <row r="572">
      <c r="A572" s="202"/>
      <c r="B572" s="202"/>
      <c r="C572" s="201"/>
    </row>
    <row r="573">
      <c r="A573" s="202"/>
      <c r="B573" s="202"/>
      <c r="C573" s="201"/>
    </row>
    <row r="574">
      <c r="A574" s="202"/>
      <c r="B574" s="202"/>
      <c r="C574" s="201"/>
    </row>
    <row r="575">
      <c r="A575" s="202"/>
      <c r="B575" s="202"/>
      <c r="C575" s="201"/>
    </row>
    <row r="576">
      <c r="A576" s="202"/>
      <c r="B576" s="202"/>
      <c r="C576" s="201"/>
    </row>
    <row r="577">
      <c r="A577" s="202"/>
      <c r="B577" s="202"/>
      <c r="C577" s="201"/>
    </row>
    <row r="578">
      <c r="A578" s="202"/>
      <c r="B578" s="202"/>
      <c r="C578" s="201"/>
    </row>
    <row r="579">
      <c r="A579" s="202"/>
      <c r="B579" s="202"/>
      <c r="C579" s="201"/>
    </row>
    <row r="580">
      <c r="A580" s="202"/>
      <c r="B580" s="202"/>
      <c r="C580" s="201"/>
    </row>
    <row r="581">
      <c r="A581" s="202"/>
      <c r="B581" s="202"/>
      <c r="C581" s="201"/>
    </row>
    <row r="582">
      <c r="A582" s="202"/>
      <c r="B582" s="202"/>
      <c r="C582" s="201"/>
    </row>
    <row r="583">
      <c r="A583" s="202"/>
      <c r="B583" s="202"/>
      <c r="C583" s="201"/>
    </row>
    <row r="584">
      <c r="A584" s="202"/>
      <c r="B584" s="202"/>
      <c r="C584" s="201"/>
    </row>
    <row r="585">
      <c r="A585" s="202"/>
      <c r="B585" s="202"/>
      <c r="C585" s="201"/>
    </row>
    <row r="586">
      <c r="A586" s="202"/>
      <c r="B586" s="202"/>
      <c r="C586" s="201"/>
    </row>
    <row r="587">
      <c r="A587" s="202"/>
      <c r="B587" s="202"/>
      <c r="C587" s="201"/>
    </row>
    <row r="588">
      <c r="A588" s="202"/>
      <c r="B588" s="202"/>
      <c r="C588" s="201"/>
    </row>
    <row r="589">
      <c r="A589" s="202"/>
      <c r="B589" s="202"/>
      <c r="C589" s="201"/>
    </row>
    <row r="590">
      <c r="A590" s="202"/>
      <c r="B590" s="202"/>
      <c r="C590" s="201"/>
    </row>
    <row r="591">
      <c r="A591" s="202"/>
      <c r="B591" s="202"/>
      <c r="C591" s="201"/>
    </row>
    <row r="592">
      <c r="A592" s="202"/>
      <c r="B592" s="202"/>
      <c r="C592" s="201"/>
    </row>
    <row r="593">
      <c r="A593" s="202"/>
      <c r="B593" s="202"/>
      <c r="C593" s="201"/>
    </row>
    <row r="594">
      <c r="A594" s="202"/>
      <c r="B594" s="202"/>
      <c r="C594" s="201"/>
    </row>
    <row r="595">
      <c r="A595" s="202"/>
      <c r="B595" s="202"/>
      <c r="C595" s="201"/>
    </row>
    <row r="596">
      <c r="A596" s="202"/>
      <c r="B596" s="202"/>
      <c r="C596" s="201"/>
    </row>
    <row r="597">
      <c r="A597" s="202"/>
      <c r="B597" s="202"/>
      <c r="C597" s="201"/>
    </row>
    <row r="598">
      <c r="A598" s="202"/>
      <c r="B598" s="202"/>
      <c r="C598" s="201"/>
    </row>
    <row r="599">
      <c r="A599" s="202"/>
      <c r="B599" s="202"/>
      <c r="C599" s="201"/>
    </row>
    <row r="600">
      <c r="A600" s="202"/>
      <c r="B600" s="202"/>
      <c r="C600" s="201"/>
    </row>
    <row r="601">
      <c r="A601" s="202"/>
      <c r="B601" s="202"/>
      <c r="C601" s="201"/>
    </row>
    <row r="602">
      <c r="A602" s="202"/>
      <c r="B602" s="202"/>
      <c r="C602" s="201"/>
    </row>
    <row r="603">
      <c r="A603" s="202"/>
      <c r="B603" s="202"/>
      <c r="C603" s="201"/>
    </row>
    <row r="604">
      <c r="A604" s="202"/>
      <c r="B604" s="202"/>
      <c r="C604" s="201"/>
    </row>
    <row r="605">
      <c r="A605" s="202"/>
      <c r="B605" s="202"/>
      <c r="C605" s="201"/>
    </row>
    <row r="606">
      <c r="A606" s="202"/>
      <c r="B606" s="202"/>
      <c r="C606" s="201"/>
    </row>
    <row r="607">
      <c r="A607" s="202"/>
      <c r="B607" s="202"/>
      <c r="C607" s="201"/>
    </row>
    <row r="608">
      <c r="A608" s="202"/>
      <c r="B608" s="202"/>
      <c r="C608" s="201"/>
    </row>
    <row r="609">
      <c r="A609" s="202"/>
      <c r="B609" s="202"/>
      <c r="C609" s="201"/>
    </row>
    <row r="610">
      <c r="A610" s="202"/>
      <c r="B610" s="202"/>
      <c r="C610" s="201"/>
    </row>
    <row r="611">
      <c r="A611" s="202"/>
      <c r="B611" s="202"/>
      <c r="C611" s="201"/>
    </row>
    <row r="612">
      <c r="A612" s="202"/>
      <c r="B612" s="202"/>
      <c r="C612" s="201"/>
    </row>
    <row r="613">
      <c r="A613" s="202"/>
      <c r="B613" s="202"/>
      <c r="C613" s="201"/>
    </row>
    <row r="614">
      <c r="A614" s="202"/>
      <c r="B614" s="202"/>
      <c r="C614" s="201"/>
    </row>
    <row r="615">
      <c r="A615" s="202"/>
      <c r="B615" s="202"/>
      <c r="C615" s="201"/>
    </row>
    <row r="616">
      <c r="A616" s="202"/>
      <c r="B616" s="202"/>
      <c r="C616" s="201"/>
    </row>
    <row r="617">
      <c r="A617" s="202"/>
      <c r="B617" s="202"/>
      <c r="C617" s="201"/>
    </row>
    <row r="618">
      <c r="A618" s="202"/>
      <c r="B618" s="202"/>
      <c r="C618" s="201"/>
    </row>
    <row r="619">
      <c r="A619" s="202"/>
      <c r="B619" s="202"/>
      <c r="C619" s="201"/>
    </row>
    <row r="620">
      <c r="A620" s="202"/>
      <c r="B620" s="202"/>
      <c r="C620" s="201"/>
    </row>
    <row r="621">
      <c r="A621" s="202"/>
      <c r="B621" s="202"/>
      <c r="C621" s="201"/>
    </row>
    <row r="622">
      <c r="A622" s="202"/>
      <c r="B622" s="202"/>
      <c r="C622" s="201"/>
    </row>
    <row r="623">
      <c r="A623" s="202"/>
      <c r="B623" s="202"/>
      <c r="C623" s="201"/>
    </row>
    <row r="624">
      <c r="A624" s="202"/>
      <c r="B624" s="202"/>
      <c r="C624" s="201"/>
    </row>
    <row r="625">
      <c r="A625" s="202"/>
      <c r="B625" s="202"/>
      <c r="C625" s="201"/>
    </row>
    <row r="626">
      <c r="A626" s="202"/>
      <c r="B626" s="202"/>
      <c r="C626" s="201"/>
    </row>
    <row r="627">
      <c r="A627" s="202"/>
      <c r="B627" s="202"/>
      <c r="C627" s="201"/>
    </row>
    <row r="628">
      <c r="A628" s="202"/>
      <c r="B628" s="202"/>
      <c r="C628" s="201"/>
    </row>
    <row r="629">
      <c r="A629" s="202"/>
      <c r="B629" s="202"/>
      <c r="C629" s="201"/>
    </row>
    <row r="630">
      <c r="A630" s="202"/>
      <c r="B630" s="202"/>
      <c r="C630" s="201"/>
    </row>
    <row r="631">
      <c r="A631" s="202"/>
      <c r="B631" s="202"/>
      <c r="C631" s="201"/>
    </row>
    <row r="632">
      <c r="A632" s="202"/>
      <c r="B632" s="202"/>
      <c r="C632" s="201"/>
    </row>
    <row r="633">
      <c r="A633" s="202"/>
      <c r="B633" s="202"/>
      <c r="C633" s="201"/>
    </row>
    <row r="634">
      <c r="A634" s="202"/>
      <c r="B634" s="202"/>
      <c r="C634" s="201"/>
    </row>
    <row r="635">
      <c r="A635" s="202"/>
      <c r="B635" s="202"/>
      <c r="C635" s="201"/>
    </row>
    <row r="636">
      <c r="A636" s="202"/>
      <c r="B636" s="202"/>
      <c r="C636" s="201"/>
    </row>
    <row r="637">
      <c r="A637" s="202"/>
      <c r="B637" s="202"/>
      <c r="C637" s="201"/>
    </row>
    <row r="638">
      <c r="A638" s="202"/>
      <c r="B638" s="202"/>
      <c r="C638" s="201"/>
    </row>
    <row r="639">
      <c r="A639" s="202"/>
      <c r="B639" s="202"/>
      <c r="C639" s="201"/>
    </row>
    <row r="640">
      <c r="A640" s="202"/>
      <c r="B640" s="202"/>
      <c r="C640" s="201"/>
    </row>
    <row r="641">
      <c r="A641" s="202"/>
      <c r="B641" s="202"/>
      <c r="C641" s="201"/>
    </row>
    <row r="642">
      <c r="A642" s="202"/>
      <c r="B642" s="202"/>
      <c r="C642" s="201"/>
    </row>
    <row r="643">
      <c r="A643" s="202"/>
      <c r="B643" s="202"/>
      <c r="C643" s="201"/>
    </row>
    <row r="644">
      <c r="A644" s="202"/>
      <c r="B644" s="202"/>
      <c r="C644" s="201"/>
    </row>
    <row r="645">
      <c r="A645" s="202"/>
      <c r="B645" s="202"/>
      <c r="C645" s="201"/>
    </row>
    <row r="646">
      <c r="A646" s="202"/>
      <c r="B646" s="202"/>
      <c r="C646" s="201"/>
    </row>
    <row r="647">
      <c r="A647" s="202"/>
      <c r="B647" s="202"/>
      <c r="C647" s="201"/>
    </row>
    <row r="648">
      <c r="A648" s="202"/>
      <c r="B648" s="202"/>
      <c r="C648" s="201"/>
    </row>
    <row r="649">
      <c r="A649" s="202"/>
      <c r="B649" s="202"/>
      <c r="C649" s="201"/>
    </row>
    <row r="650">
      <c r="A650" s="202"/>
      <c r="B650" s="202"/>
      <c r="C650" s="201"/>
    </row>
    <row r="651">
      <c r="A651" s="202"/>
      <c r="B651" s="202"/>
      <c r="C651" s="201"/>
    </row>
    <row r="652">
      <c r="A652" s="202"/>
      <c r="B652" s="202"/>
      <c r="C652" s="201"/>
    </row>
    <row r="653">
      <c r="A653" s="202"/>
      <c r="B653" s="202"/>
      <c r="C653" s="201"/>
    </row>
    <row r="654">
      <c r="A654" s="202"/>
      <c r="B654" s="202"/>
      <c r="C654" s="201"/>
    </row>
    <row r="655">
      <c r="A655" s="202"/>
      <c r="B655" s="202"/>
      <c r="C655" s="201"/>
    </row>
    <row r="656">
      <c r="A656" s="202"/>
      <c r="B656" s="202"/>
      <c r="C656" s="201"/>
    </row>
    <row r="657">
      <c r="A657" s="202"/>
      <c r="B657" s="202"/>
      <c r="C657" s="201"/>
    </row>
    <row r="658">
      <c r="A658" s="202"/>
      <c r="B658" s="202"/>
      <c r="C658" s="201"/>
    </row>
    <row r="659">
      <c r="A659" s="202"/>
      <c r="B659" s="202"/>
      <c r="C659" s="201"/>
    </row>
    <row r="660">
      <c r="A660" s="202"/>
      <c r="B660" s="202"/>
      <c r="C660" s="201"/>
    </row>
    <row r="661">
      <c r="A661" s="202"/>
      <c r="B661" s="202"/>
      <c r="C661" s="201"/>
    </row>
    <row r="662">
      <c r="A662" s="202"/>
      <c r="B662" s="202"/>
      <c r="C662" s="201"/>
    </row>
    <row r="663">
      <c r="A663" s="202"/>
      <c r="B663" s="202"/>
      <c r="C663" s="201"/>
    </row>
    <row r="664">
      <c r="A664" s="202"/>
      <c r="B664" s="202"/>
      <c r="C664" s="201"/>
    </row>
    <row r="665">
      <c r="A665" s="202"/>
      <c r="B665" s="202"/>
      <c r="C665" s="201"/>
    </row>
    <row r="666">
      <c r="A666" s="202"/>
      <c r="B666" s="202"/>
      <c r="C666" s="201"/>
    </row>
    <row r="667">
      <c r="A667" s="202"/>
      <c r="B667" s="202"/>
      <c r="C667" s="201"/>
    </row>
    <row r="668">
      <c r="A668" s="202"/>
      <c r="B668" s="202"/>
      <c r="C668" s="201"/>
    </row>
    <row r="669">
      <c r="A669" s="202"/>
      <c r="B669" s="202"/>
      <c r="C669" s="201"/>
    </row>
    <row r="670">
      <c r="A670" s="202"/>
      <c r="B670" s="202"/>
      <c r="C670" s="201"/>
    </row>
    <row r="671">
      <c r="A671" s="202"/>
      <c r="B671" s="202"/>
      <c r="C671" s="201"/>
    </row>
    <row r="672">
      <c r="A672" s="202"/>
      <c r="B672" s="202"/>
      <c r="C672" s="201"/>
    </row>
    <row r="673">
      <c r="A673" s="202"/>
      <c r="B673" s="202"/>
      <c r="C673" s="201"/>
    </row>
    <row r="674">
      <c r="A674" s="202"/>
      <c r="B674" s="202"/>
      <c r="C674" s="201"/>
    </row>
    <row r="675">
      <c r="A675" s="202"/>
      <c r="B675" s="202"/>
      <c r="C675" s="201"/>
    </row>
    <row r="676">
      <c r="A676" s="202"/>
      <c r="B676" s="202"/>
      <c r="C676" s="201"/>
    </row>
    <row r="677">
      <c r="A677" s="202"/>
      <c r="B677" s="202"/>
      <c r="C677" s="201"/>
    </row>
    <row r="678">
      <c r="A678" s="202"/>
      <c r="B678" s="202"/>
      <c r="C678" s="201"/>
    </row>
    <row r="679">
      <c r="A679" s="202"/>
      <c r="B679" s="202"/>
      <c r="C679" s="201"/>
    </row>
    <row r="680">
      <c r="A680" s="202"/>
      <c r="B680" s="202"/>
      <c r="C680" s="201"/>
    </row>
    <row r="681">
      <c r="A681" s="202"/>
      <c r="B681" s="202"/>
      <c r="C681" s="201"/>
    </row>
    <row r="682">
      <c r="A682" s="202"/>
      <c r="B682" s="202"/>
      <c r="C682" s="201"/>
    </row>
    <row r="683">
      <c r="A683" s="202"/>
      <c r="B683" s="202"/>
      <c r="C683" s="201"/>
    </row>
    <row r="684">
      <c r="A684" s="202"/>
      <c r="B684" s="202"/>
      <c r="C684" s="201"/>
    </row>
    <row r="685">
      <c r="A685" s="202"/>
      <c r="B685" s="202"/>
      <c r="C685" s="201"/>
    </row>
    <row r="686">
      <c r="A686" s="202"/>
      <c r="B686" s="202"/>
      <c r="C686" s="201"/>
    </row>
    <row r="687">
      <c r="A687" s="202"/>
      <c r="B687" s="202"/>
      <c r="C687" s="201"/>
    </row>
    <row r="688">
      <c r="A688" s="202"/>
      <c r="B688" s="202"/>
      <c r="C688" s="201"/>
    </row>
    <row r="689">
      <c r="A689" s="202"/>
      <c r="B689" s="202"/>
      <c r="C689" s="201"/>
    </row>
    <row r="690">
      <c r="A690" s="202"/>
      <c r="B690" s="202"/>
      <c r="C690" s="201"/>
    </row>
    <row r="691">
      <c r="A691" s="202"/>
      <c r="B691" s="202"/>
      <c r="C691" s="201"/>
    </row>
    <row r="692">
      <c r="A692" s="202"/>
      <c r="B692" s="202"/>
      <c r="C692" s="201"/>
    </row>
    <row r="693">
      <c r="A693" s="202"/>
      <c r="B693" s="202"/>
      <c r="C693" s="201"/>
    </row>
    <row r="694">
      <c r="A694" s="202"/>
      <c r="B694" s="202"/>
      <c r="C694" s="201"/>
    </row>
    <row r="695">
      <c r="A695" s="202"/>
      <c r="B695" s="202"/>
      <c r="C695" s="201"/>
    </row>
    <row r="696">
      <c r="A696" s="202"/>
      <c r="B696" s="202"/>
      <c r="C696" s="201"/>
    </row>
    <row r="697">
      <c r="A697" s="202"/>
      <c r="B697" s="202"/>
      <c r="C697" s="201"/>
    </row>
    <row r="698">
      <c r="A698" s="202"/>
      <c r="B698" s="202"/>
      <c r="C698" s="201"/>
    </row>
    <row r="699">
      <c r="A699" s="202"/>
      <c r="B699" s="202"/>
      <c r="C699" s="201"/>
    </row>
    <row r="700">
      <c r="A700" s="202"/>
      <c r="B700" s="202"/>
      <c r="C700" s="201"/>
    </row>
    <row r="701">
      <c r="A701" s="202"/>
      <c r="B701" s="202"/>
      <c r="C701" s="201"/>
    </row>
    <row r="702">
      <c r="A702" s="202"/>
      <c r="B702" s="202"/>
      <c r="C702" s="201"/>
    </row>
    <row r="703">
      <c r="A703" s="202"/>
      <c r="B703" s="202"/>
      <c r="C703" s="201"/>
    </row>
    <row r="704">
      <c r="A704" s="202"/>
      <c r="B704" s="202"/>
      <c r="C704" s="201"/>
    </row>
    <row r="705">
      <c r="A705" s="202"/>
      <c r="B705" s="202"/>
      <c r="C705" s="201"/>
    </row>
    <row r="706">
      <c r="A706" s="202"/>
      <c r="B706" s="202"/>
      <c r="C706" s="201"/>
    </row>
    <row r="707">
      <c r="A707" s="202"/>
      <c r="B707" s="202"/>
      <c r="C707" s="201"/>
    </row>
    <row r="708">
      <c r="A708" s="202"/>
      <c r="B708" s="202"/>
      <c r="C708" s="201"/>
    </row>
    <row r="709">
      <c r="A709" s="202"/>
      <c r="B709" s="202"/>
      <c r="C709" s="201"/>
    </row>
    <row r="710">
      <c r="A710" s="202"/>
      <c r="B710" s="202"/>
      <c r="C710" s="201"/>
    </row>
    <row r="711">
      <c r="A711" s="202"/>
      <c r="B711" s="202"/>
      <c r="C711" s="201"/>
    </row>
    <row r="712">
      <c r="A712" s="202"/>
      <c r="B712" s="202"/>
      <c r="C712" s="201"/>
    </row>
    <row r="713">
      <c r="A713" s="202"/>
      <c r="B713" s="202"/>
      <c r="C713" s="201"/>
    </row>
    <row r="714">
      <c r="A714" s="202"/>
      <c r="B714" s="202"/>
      <c r="C714" s="201"/>
    </row>
    <row r="715">
      <c r="A715" s="202"/>
      <c r="B715" s="202"/>
      <c r="C715" s="201"/>
    </row>
    <row r="716">
      <c r="A716" s="202"/>
      <c r="B716" s="202"/>
      <c r="C716" s="201"/>
    </row>
    <row r="717">
      <c r="A717" s="202"/>
      <c r="B717" s="202"/>
      <c r="C717" s="201"/>
    </row>
    <row r="718">
      <c r="A718" s="202"/>
      <c r="B718" s="202"/>
      <c r="C718" s="201"/>
    </row>
    <row r="719">
      <c r="A719" s="202"/>
      <c r="B719" s="202"/>
      <c r="C719" s="201"/>
    </row>
    <row r="720">
      <c r="A720" s="202"/>
      <c r="B720" s="202"/>
      <c r="C720" s="201"/>
    </row>
    <row r="721">
      <c r="A721" s="202"/>
      <c r="B721" s="202"/>
      <c r="C721" s="201"/>
    </row>
    <row r="722">
      <c r="A722" s="202"/>
      <c r="B722" s="202"/>
      <c r="C722" s="201"/>
    </row>
    <row r="723">
      <c r="A723" s="202"/>
      <c r="B723" s="202"/>
      <c r="C723" s="201"/>
    </row>
    <row r="724">
      <c r="A724" s="202"/>
      <c r="B724" s="202"/>
      <c r="C724" s="201"/>
    </row>
    <row r="725">
      <c r="A725" s="202"/>
      <c r="B725" s="202"/>
      <c r="C725" s="201"/>
    </row>
    <row r="726">
      <c r="A726" s="202"/>
      <c r="B726" s="202"/>
      <c r="C726" s="201"/>
    </row>
    <row r="727">
      <c r="A727" s="202"/>
      <c r="B727" s="202"/>
      <c r="C727" s="201"/>
    </row>
    <row r="728">
      <c r="A728" s="202"/>
      <c r="B728" s="202"/>
      <c r="C728" s="201"/>
    </row>
    <row r="729">
      <c r="A729" s="202"/>
      <c r="B729" s="202"/>
      <c r="C729" s="201"/>
    </row>
    <row r="730">
      <c r="A730" s="202"/>
      <c r="B730" s="202"/>
      <c r="C730" s="201"/>
    </row>
    <row r="731">
      <c r="A731" s="202"/>
      <c r="B731" s="202"/>
      <c r="C731" s="201"/>
    </row>
    <row r="732">
      <c r="A732" s="202"/>
      <c r="B732" s="202"/>
      <c r="C732" s="201"/>
    </row>
    <row r="733">
      <c r="A733" s="202"/>
      <c r="B733" s="202"/>
      <c r="C733" s="201"/>
    </row>
    <row r="734">
      <c r="A734" s="202"/>
      <c r="B734" s="202"/>
      <c r="C734" s="201"/>
    </row>
    <row r="735">
      <c r="A735" s="202"/>
      <c r="B735" s="202"/>
      <c r="C735" s="201"/>
    </row>
    <row r="736">
      <c r="A736" s="202"/>
      <c r="B736" s="202"/>
      <c r="C736" s="201"/>
    </row>
    <row r="737">
      <c r="A737" s="202"/>
      <c r="B737" s="202"/>
      <c r="C737" s="201"/>
    </row>
    <row r="738">
      <c r="A738" s="202"/>
      <c r="B738" s="202"/>
      <c r="C738" s="201"/>
    </row>
    <row r="739">
      <c r="A739" s="202"/>
      <c r="B739" s="202"/>
      <c r="C739" s="201"/>
    </row>
    <row r="740">
      <c r="A740" s="202"/>
      <c r="B740" s="202"/>
      <c r="C740" s="201"/>
    </row>
    <row r="741">
      <c r="A741" s="202"/>
      <c r="B741" s="202"/>
      <c r="C741" s="201"/>
    </row>
    <row r="742">
      <c r="A742" s="202"/>
      <c r="B742" s="202"/>
      <c r="C742" s="201"/>
    </row>
    <row r="743">
      <c r="A743" s="202"/>
      <c r="B743" s="202"/>
      <c r="C743" s="201"/>
    </row>
    <row r="744">
      <c r="A744" s="202"/>
      <c r="B744" s="202"/>
      <c r="C744" s="201"/>
    </row>
    <row r="745">
      <c r="A745" s="202"/>
      <c r="B745" s="202"/>
      <c r="C745" s="201"/>
    </row>
    <row r="746">
      <c r="A746" s="202"/>
      <c r="B746" s="202"/>
      <c r="C746" s="201"/>
    </row>
    <row r="747">
      <c r="A747" s="202"/>
      <c r="B747" s="202"/>
      <c r="C747" s="201"/>
    </row>
    <row r="748">
      <c r="A748" s="202"/>
      <c r="B748" s="202"/>
      <c r="C748" s="201"/>
    </row>
    <row r="749">
      <c r="A749" s="202"/>
      <c r="B749" s="202"/>
      <c r="C749" s="201"/>
    </row>
    <row r="750">
      <c r="A750" s="202"/>
      <c r="B750" s="202"/>
      <c r="C750" s="201"/>
    </row>
    <row r="751">
      <c r="A751" s="202"/>
      <c r="B751" s="202"/>
      <c r="C751" s="201"/>
    </row>
    <row r="752">
      <c r="A752" s="202"/>
      <c r="B752" s="202"/>
      <c r="C752" s="201"/>
    </row>
    <row r="753">
      <c r="A753" s="202"/>
      <c r="B753" s="202"/>
      <c r="C753" s="201"/>
    </row>
    <row r="754">
      <c r="A754" s="202"/>
      <c r="B754" s="202"/>
      <c r="C754" s="201"/>
    </row>
    <row r="755">
      <c r="A755" s="202"/>
      <c r="B755" s="202"/>
      <c r="C755" s="201"/>
    </row>
    <row r="756">
      <c r="A756" s="202"/>
      <c r="B756" s="202"/>
      <c r="C756" s="201"/>
    </row>
    <row r="757">
      <c r="A757" s="202"/>
      <c r="B757" s="202"/>
      <c r="C757" s="201"/>
    </row>
    <row r="758">
      <c r="A758" s="202"/>
      <c r="B758" s="202"/>
      <c r="C758" s="201"/>
    </row>
    <row r="759">
      <c r="A759" s="202"/>
      <c r="B759" s="202"/>
      <c r="C759" s="201"/>
    </row>
    <row r="760">
      <c r="A760" s="202"/>
      <c r="B760" s="202"/>
      <c r="C760" s="201"/>
    </row>
    <row r="761">
      <c r="A761" s="202"/>
      <c r="B761" s="202"/>
      <c r="C761" s="201"/>
    </row>
    <row r="762">
      <c r="A762" s="202"/>
      <c r="B762" s="202"/>
      <c r="C762" s="201"/>
    </row>
    <row r="763">
      <c r="A763" s="202"/>
      <c r="B763" s="202"/>
      <c r="C763" s="201"/>
    </row>
    <row r="764">
      <c r="A764" s="202"/>
      <c r="B764" s="202"/>
      <c r="C764" s="201"/>
    </row>
    <row r="765">
      <c r="A765" s="202"/>
      <c r="B765" s="202"/>
      <c r="C765" s="201"/>
    </row>
    <row r="766">
      <c r="A766" s="202"/>
      <c r="B766" s="202"/>
      <c r="C766" s="201"/>
    </row>
    <row r="767">
      <c r="A767" s="202"/>
      <c r="B767" s="202"/>
      <c r="C767" s="201"/>
    </row>
    <row r="768">
      <c r="A768" s="202"/>
      <c r="B768" s="202"/>
      <c r="C768" s="201"/>
    </row>
    <row r="769">
      <c r="A769" s="202"/>
      <c r="B769" s="202"/>
      <c r="C769" s="201"/>
    </row>
    <row r="770">
      <c r="A770" s="202"/>
      <c r="B770" s="202"/>
      <c r="C770" s="201"/>
    </row>
    <row r="771">
      <c r="A771" s="202"/>
      <c r="B771" s="202"/>
      <c r="C771" s="201"/>
    </row>
    <row r="772">
      <c r="A772" s="202"/>
      <c r="B772" s="202"/>
      <c r="C772" s="201"/>
    </row>
    <row r="773">
      <c r="A773" s="202"/>
      <c r="B773" s="202"/>
      <c r="C773" s="201"/>
    </row>
    <row r="774">
      <c r="A774" s="202"/>
      <c r="B774" s="202"/>
      <c r="C774" s="201"/>
    </row>
    <row r="775">
      <c r="A775" s="202"/>
      <c r="B775" s="202"/>
      <c r="C775" s="201"/>
    </row>
    <row r="776">
      <c r="A776" s="202"/>
      <c r="B776" s="202"/>
      <c r="C776" s="201"/>
    </row>
    <row r="777">
      <c r="A777" s="202"/>
      <c r="B777" s="202"/>
      <c r="C777" s="201"/>
    </row>
    <row r="778">
      <c r="A778" s="202"/>
      <c r="B778" s="202"/>
      <c r="C778" s="201"/>
    </row>
    <row r="779">
      <c r="A779" s="202"/>
      <c r="B779" s="202"/>
      <c r="C779" s="201"/>
    </row>
    <row r="780">
      <c r="A780" s="202"/>
      <c r="B780" s="202"/>
      <c r="C780" s="201"/>
    </row>
    <row r="781">
      <c r="A781" s="202"/>
      <c r="B781" s="202"/>
      <c r="C781" s="201"/>
    </row>
    <row r="782">
      <c r="A782" s="202"/>
      <c r="B782" s="202"/>
      <c r="C782" s="201"/>
    </row>
    <row r="783">
      <c r="A783" s="202"/>
      <c r="B783" s="202"/>
      <c r="C783" s="201"/>
    </row>
    <row r="784">
      <c r="A784" s="202"/>
      <c r="B784" s="202"/>
      <c r="C784" s="201"/>
    </row>
    <row r="785">
      <c r="A785" s="202"/>
      <c r="B785" s="202"/>
      <c r="C785" s="201"/>
    </row>
    <row r="786">
      <c r="A786" s="202"/>
      <c r="B786" s="202"/>
      <c r="C786" s="201"/>
    </row>
    <row r="787">
      <c r="A787" s="202"/>
      <c r="B787" s="202"/>
      <c r="C787" s="201"/>
    </row>
    <row r="788">
      <c r="A788" s="202"/>
      <c r="B788" s="202"/>
      <c r="C788" s="201"/>
    </row>
    <row r="789">
      <c r="A789" s="202"/>
      <c r="B789" s="202"/>
      <c r="C789" s="201"/>
    </row>
    <row r="790">
      <c r="A790" s="202"/>
      <c r="B790" s="202"/>
      <c r="C790" s="201"/>
    </row>
    <row r="791">
      <c r="A791" s="202"/>
      <c r="B791" s="202"/>
      <c r="C791" s="201"/>
    </row>
    <row r="792">
      <c r="A792" s="202"/>
      <c r="B792" s="202"/>
      <c r="C792" s="201"/>
    </row>
    <row r="793">
      <c r="A793" s="202"/>
      <c r="B793" s="202"/>
      <c r="C793" s="201"/>
    </row>
    <row r="794">
      <c r="A794" s="202"/>
      <c r="B794" s="202"/>
      <c r="C794" s="201"/>
    </row>
    <row r="795">
      <c r="A795" s="202"/>
      <c r="B795" s="202"/>
      <c r="C795" s="201"/>
    </row>
    <row r="796">
      <c r="A796" s="202"/>
      <c r="B796" s="202"/>
      <c r="C796" s="201"/>
    </row>
    <row r="797">
      <c r="A797" s="202"/>
      <c r="B797" s="202"/>
      <c r="C797" s="201"/>
    </row>
    <row r="798">
      <c r="A798" s="202"/>
      <c r="B798" s="202"/>
      <c r="C798" s="201"/>
    </row>
    <row r="799">
      <c r="A799" s="202"/>
      <c r="B799" s="202"/>
      <c r="C799" s="201"/>
    </row>
    <row r="800">
      <c r="A800" s="202"/>
      <c r="B800" s="202"/>
      <c r="C800" s="201"/>
    </row>
    <row r="801">
      <c r="A801" s="202"/>
      <c r="B801" s="202"/>
      <c r="C801" s="201"/>
    </row>
    <row r="802">
      <c r="A802" s="202"/>
      <c r="B802" s="202"/>
      <c r="C802" s="201"/>
    </row>
    <row r="803">
      <c r="A803" s="202"/>
      <c r="B803" s="202"/>
      <c r="C803" s="201"/>
    </row>
    <row r="804">
      <c r="A804" s="202"/>
      <c r="B804" s="202"/>
      <c r="C804" s="201"/>
    </row>
    <row r="805">
      <c r="A805" s="202"/>
      <c r="B805" s="202"/>
      <c r="C805" s="201"/>
    </row>
    <row r="806">
      <c r="A806" s="202"/>
      <c r="B806" s="202"/>
      <c r="C806" s="201"/>
    </row>
    <row r="807">
      <c r="A807" s="202"/>
      <c r="B807" s="202"/>
      <c r="C807" s="201"/>
    </row>
    <row r="808">
      <c r="A808" s="202"/>
      <c r="B808" s="202"/>
      <c r="C808" s="201"/>
    </row>
    <row r="809">
      <c r="A809" s="202"/>
      <c r="B809" s="202"/>
      <c r="C809" s="201"/>
    </row>
    <row r="810">
      <c r="A810" s="202"/>
      <c r="B810" s="202"/>
      <c r="C810" s="201"/>
    </row>
    <row r="811">
      <c r="A811" s="202"/>
      <c r="B811" s="202"/>
      <c r="C811" s="201"/>
    </row>
    <row r="812">
      <c r="A812" s="202"/>
      <c r="B812" s="202"/>
      <c r="C812" s="201"/>
    </row>
    <row r="813">
      <c r="A813" s="202"/>
      <c r="B813" s="202"/>
      <c r="C813" s="201"/>
    </row>
    <row r="814">
      <c r="A814" s="202"/>
      <c r="B814" s="202"/>
      <c r="C814" s="201"/>
    </row>
    <row r="815">
      <c r="A815" s="202"/>
      <c r="B815" s="202"/>
      <c r="C815" s="201"/>
    </row>
    <row r="816">
      <c r="A816" s="202"/>
      <c r="B816" s="202"/>
      <c r="C816" s="201"/>
    </row>
    <row r="817">
      <c r="A817" s="202"/>
      <c r="B817" s="202"/>
      <c r="C817" s="201"/>
    </row>
    <row r="818">
      <c r="A818" s="202"/>
      <c r="B818" s="202"/>
      <c r="C818" s="201"/>
    </row>
    <row r="819">
      <c r="A819" s="202"/>
      <c r="B819" s="202"/>
      <c r="C819" s="201"/>
    </row>
    <row r="820">
      <c r="A820" s="202"/>
      <c r="B820" s="202"/>
      <c r="C820" s="201"/>
    </row>
    <row r="821">
      <c r="A821" s="202"/>
      <c r="B821" s="202"/>
      <c r="C821" s="201"/>
    </row>
    <row r="822">
      <c r="A822" s="202"/>
      <c r="B822" s="202"/>
      <c r="C822" s="201"/>
    </row>
    <row r="823">
      <c r="A823" s="202"/>
      <c r="B823" s="202"/>
      <c r="C823" s="201"/>
    </row>
    <row r="824">
      <c r="A824" s="202"/>
      <c r="B824" s="202"/>
      <c r="C824" s="201"/>
    </row>
    <row r="825">
      <c r="A825" s="202"/>
      <c r="B825" s="202"/>
      <c r="C825" s="201"/>
    </row>
    <row r="826">
      <c r="A826" s="202"/>
      <c r="B826" s="202"/>
      <c r="C826" s="201"/>
    </row>
    <row r="827">
      <c r="A827" s="202"/>
      <c r="B827" s="202"/>
      <c r="C827" s="201"/>
    </row>
    <row r="828">
      <c r="A828" s="202"/>
      <c r="B828" s="202"/>
      <c r="C828" s="201"/>
    </row>
    <row r="829">
      <c r="A829" s="202"/>
      <c r="B829" s="202"/>
      <c r="C829" s="201"/>
    </row>
    <row r="830">
      <c r="A830" s="202"/>
      <c r="B830" s="202"/>
      <c r="C830" s="201"/>
    </row>
    <row r="831">
      <c r="A831" s="202"/>
      <c r="B831" s="202"/>
      <c r="C831" s="201"/>
    </row>
    <row r="832">
      <c r="A832" s="202"/>
      <c r="B832" s="202"/>
      <c r="C832" s="201"/>
    </row>
    <row r="833">
      <c r="A833" s="202"/>
      <c r="B833" s="202"/>
      <c r="C833" s="201"/>
    </row>
    <row r="834">
      <c r="A834" s="202"/>
      <c r="B834" s="202"/>
      <c r="C834" s="201"/>
    </row>
    <row r="835">
      <c r="A835" s="202"/>
      <c r="B835" s="202"/>
      <c r="C835" s="201"/>
    </row>
    <row r="836">
      <c r="A836" s="202"/>
      <c r="B836" s="202"/>
      <c r="C836" s="201"/>
    </row>
    <row r="837">
      <c r="A837" s="202"/>
      <c r="B837" s="202"/>
      <c r="C837" s="201"/>
    </row>
    <row r="838">
      <c r="A838" s="202"/>
      <c r="B838" s="202"/>
      <c r="C838" s="201"/>
    </row>
    <row r="839">
      <c r="A839" s="202"/>
      <c r="B839" s="202"/>
      <c r="C839" s="201"/>
    </row>
    <row r="840">
      <c r="A840" s="202"/>
      <c r="B840" s="202"/>
      <c r="C840" s="201"/>
    </row>
    <row r="841">
      <c r="A841" s="202"/>
      <c r="B841" s="202"/>
      <c r="C841" s="201"/>
    </row>
    <row r="842">
      <c r="A842" s="202"/>
      <c r="B842" s="202"/>
      <c r="C842" s="201"/>
    </row>
    <row r="843">
      <c r="A843" s="202"/>
      <c r="B843" s="202"/>
      <c r="C843" s="201"/>
    </row>
    <row r="844">
      <c r="A844" s="202"/>
      <c r="B844" s="202"/>
      <c r="C844" s="201"/>
    </row>
    <row r="845">
      <c r="A845" s="202"/>
      <c r="B845" s="202"/>
      <c r="C845" s="201"/>
    </row>
    <row r="846">
      <c r="A846" s="202"/>
      <c r="B846" s="202"/>
      <c r="C846" s="201"/>
    </row>
    <row r="847">
      <c r="A847" s="202"/>
      <c r="B847" s="202"/>
      <c r="C847" s="201"/>
    </row>
    <row r="848">
      <c r="A848" s="202"/>
      <c r="B848" s="202"/>
      <c r="C848" s="201"/>
    </row>
    <row r="849">
      <c r="A849" s="202"/>
      <c r="B849" s="202"/>
      <c r="C849" s="201"/>
    </row>
    <row r="850">
      <c r="A850" s="202"/>
      <c r="B850" s="202"/>
      <c r="C850" s="201"/>
    </row>
    <row r="851">
      <c r="A851" s="202"/>
      <c r="B851" s="202"/>
      <c r="C851" s="201"/>
    </row>
    <row r="852">
      <c r="A852" s="202"/>
      <c r="B852" s="202"/>
      <c r="C852" s="201"/>
    </row>
    <row r="853">
      <c r="A853" s="202"/>
      <c r="B853" s="202"/>
      <c r="C853" s="201"/>
    </row>
    <row r="854">
      <c r="A854" s="202"/>
      <c r="B854" s="202"/>
      <c r="C854" s="201"/>
    </row>
    <row r="855">
      <c r="A855" s="202"/>
      <c r="B855" s="202"/>
      <c r="C855" s="201"/>
    </row>
    <row r="856">
      <c r="A856" s="202"/>
      <c r="B856" s="202"/>
      <c r="C856" s="201"/>
    </row>
    <row r="857">
      <c r="A857" s="202"/>
      <c r="B857" s="202"/>
      <c r="C857" s="201"/>
    </row>
    <row r="858">
      <c r="A858" s="202"/>
      <c r="B858" s="202"/>
      <c r="C858" s="201"/>
    </row>
    <row r="859">
      <c r="A859" s="202"/>
      <c r="B859" s="202"/>
      <c r="C859" s="201"/>
    </row>
    <row r="860">
      <c r="A860" s="202"/>
      <c r="B860" s="202"/>
      <c r="C860" s="201"/>
    </row>
    <row r="861">
      <c r="A861" s="202"/>
      <c r="B861" s="202"/>
      <c r="C861" s="201"/>
    </row>
    <row r="862">
      <c r="A862" s="202"/>
      <c r="B862" s="202"/>
      <c r="C862" s="201"/>
    </row>
    <row r="863">
      <c r="A863" s="202"/>
      <c r="B863" s="202"/>
      <c r="C863" s="201"/>
    </row>
    <row r="864">
      <c r="A864" s="202"/>
      <c r="B864" s="202"/>
      <c r="C864" s="201"/>
    </row>
    <row r="865">
      <c r="A865" s="202"/>
      <c r="B865" s="202"/>
      <c r="C865" s="201"/>
    </row>
    <row r="866">
      <c r="A866" s="202"/>
      <c r="B866" s="202"/>
      <c r="C866" s="201"/>
    </row>
    <row r="867">
      <c r="A867" s="202"/>
      <c r="B867" s="202"/>
      <c r="C867" s="201"/>
    </row>
    <row r="868">
      <c r="A868" s="202"/>
      <c r="B868" s="202"/>
      <c r="C868" s="201"/>
    </row>
    <row r="869">
      <c r="A869" s="202"/>
      <c r="B869" s="202"/>
      <c r="C869" s="201"/>
    </row>
    <row r="870">
      <c r="A870" s="202"/>
      <c r="B870" s="202"/>
      <c r="C870" s="201"/>
    </row>
    <row r="871">
      <c r="A871" s="202"/>
      <c r="B871" s="202"/>
      <c r="C871" s="201"/>
    </row>
    <row r="872">
      <c r="A872" s="202"/>
      <c r="B872" s="202"/>
      <c r="C872" s="201"/>
    </row>
    <row r="873">
      <c r="A873" s="202"/>
      <c r="B873" s="202"/>
      <c r="C873" s="201"/>
    </row>
    <row r="874">
      <c r="A874" s="202"/>
      <c r="B874" s="202"/>
      <c r="C874" s="201"/>
    </row>
    <row r="875">
      <c r="A875" s="202"/>
      <c r="B875" s="202"/>
      <c r="C875" s="201"/>
    </row>
    <row r="876">
      <c r="A876" s="202"/>
      <c r="B876" s="202"/>
      <c r="C876" s="201"/>
    </row>
    <row r="877">
      <c r="A877" s="202"/>
      <c r="B877" s="202"/>
      <c r="C877" s="201"/>
    </row>
    <row r="878">
      <c r="A878" s="202"/>
      <c r="B878" s="202"/>
      <c r="C878" s="201"/>
    </row>
    <row r="879">
      <c r="A879" s="202"/>
      <c r="B879" s="202"/>
      <c r="C879" s="201"/>
    </row>
    <row r="880">
      <c r="A880" s="202"/>
      <c r="B880" s="202"/>
      <c r="C880" s="201"/>
    </row>
    <row r="881">
      <c r="A881" s="202"/>
      <c r="B881" s="202"/>
      <c r="C881" s="201"/>
    </row>
    <row r="882">
      <c r="A882" s="202"/>
      <c r="B882" s="202"/>
      <c r="C882" s="201"/>
    </row>
    <row r="883">
      <c r="A883" s="202"/>
      <c r="B883" s="202"/>
      <c r="C883" s="201"/>
    </row>
    <row r="884">
      <c r="A884" s="202"/>
      <c r="B884" s="202"/>
      <c r="C884" s="201"/>
    </row>
    <row r="885">
      <c r="A885" s="202"/>
      <c r="B885" s="202"/>
      <c r="C885" s="201"/>
    </row>
    <row r="886">
      <c r="A886" s="202"/>
      <c r="B886" s="202"/>
      <c r="C886" s="201"/>
    </row>
    <row r="887">
      <c r="A887" s="202"/>
      <c r="B887" s="202"/>
      <c r="C887" s="201"/>
    </row>
    <row r="888">
      <c r="A888" s="202"/>
      <c r="B888" s="202"/>
      <c r="C888" s="201"/>
    </row>
    <row r="889">
      <c r="A889" s="202"/>
      <c r="B889" s="202"/>
      <c r="C889" s="201"/>
    </row>
    <row r="890">
      <c r="A890" s="202"/>
      <c r="B890" s="202"/>
      <c r="C890" s="201"/>
    </row>
    <row r="891">
      <c r="A891" s="202"/>
      <c r="B891" s="202"/>
      <c r="C891" s="201"/>
    </row>
    <row r="892">
      <c r="A892" s="202"/>
      <c r="B892" s="202"/>
      <c r="C892" s="201"/>
    </row>
    <row r="893">
      <c r="A893" s="202"/>
      <c r="B893" s="202"/>
      <c r="C893" s="201"/>
    </row>
    <row r="894">
      <c r="A894" s="202"/>
      <c r="B894" s="202"/>
      <c r="C894" s="201"/>
    </row>
    <row r="895">
      <c r="A895" s="202"/>
      <c r="B895" s="202"/>
      <c r="C895" s="201"/>
    </row>
    <row r="896">
      <c r="A896" s="202"/>
      <c r="B896" s="202"/>
      <c r="C896" s="201"/>
    </row>
    <row r="897">
      <c r="A897" s="202"/>
      <c r="B897" s="202"/>
      <c r="C897" s="201"/>
    </row>
    <row r="898">
      <c r="A898" s="202"/>
      <c r="B898" s="202"/>
      <c r="C898" s="201"/>
    </row>
    <row r="899">
      <c r="A899" s="202"/>
      <c r="B899" s="202"/>
      <c r="C899" s="201"/>
    </row>
    <row r="900">
      <c r="A900" s="202"/>
      <c r="B900" s="202"/>
      <c r="C900" s="201"/>
    </row>
    <row r="901">
      <c r="A901" s="202"/>
      <c r="B901" s="202"/>
      <c r="C901" s="201"/>
    </row>
    <row r="902">
      <c r="A902" s="202"/>
      <c r="B902" s="202"/>
      <c r="C902" s="201"/>
    </row>
    <row r="903">
      <c r="A903" s="202"/>
      <c r="B903" s="202"/>
      <c r="C903" s="201"/>
    </row>
    <row r="904">
      <c r="A904" s="202"/>
      <c r="B904" s="202"/>
      <c r="C904" s="201"/>
    </row>
    <row r="905">
      <c r="A905" s="202"/>
      <c r="B905" s="202"/>
      <c r="C905" s="201"/>
    </row>
    <row r="906">
      <c r="A906" s="202"/>
      <c r="B906" s="202"/>
      <c r="C906" s="201"/>
    </row>
    <row r="907">
      <c r="A907" s="202"/>
      <c r="B907" s="202"/>
      <c r="C907" s="201"/>
    </row>
    <row r="908">
      <c r="A908" s="202"/>
      <c r="B908" s="202"/>
      <c r="C908" s="201"/>
    </row>
    <row r="909">
      <c r="A909" s="202"/>
      <c r="B909" s="202"/>
      <c r="C909" s="201"/>
    </row>
    <row r="910">
      <c r="A910" s="202"/>
      <c r="B910" s="202"/>
      <c r="C910" s="201"/>
    </row>
    <row r="911">
      <c r="A911" s="202"/>
      <c r="B911" s="202"/>
      <c r="C911" s="201"/>
    </row>
    <row r="912">
      <c r="A912" s="202"/>
      <c r="B912" s="202"/>
      <c r="C912" s="201"/>
    </row>
    <row r="913">
      <c r="A913" s="202"/>
      <c r="B913" s="202"/>
      <c r="C913" s="201"/>
    </row>
    <row r="914">
      <c r="A914" s="202"/>
      <c r="B914" s="202"/>
      <c r="C914" s="201"/>
    </row>
    <row r="915">
      <c r="A915" s="202"/>
      <c r="B915" s="202"/>
      <c r="C915" s="201"/>
    </row>
    <row r="916">
      <c r="A916" s="202"/>
      <c r="B916" s="202"/>
      <c r="C916" s="201"/>
    </row>
    <row r="917">
      <c r="A917" s="202"/>
      <c r="B917" s="202"/>
      <c r="C917" s="201"/>
    </row>
    <row r="918">
      <c r="A918" s="202"/>
      <c r="B918" s="202"/>
      <c r="C918" s="201"/>
    </row>
    <row r="919">
      <c r="A919" s="202"/>
      <c r="B919" s="202"/>
      <c r="C919" s="201"/>
    </row>
    <row r="920">
      <c r="A920" s="202"/>
      <c r="B920" s="202"/>
      <c r="C920" s="201"/>
    </row>
    <row r="921">
      <c r="A921" s="202"/>
      <c r="B921" s="202"/>
      <c r="C921" s="201"/>
    </row>
    <row r="922">
      <c r="A922" s="202"/>
      <c r="B922" s="202"/>
      <c r="C922" s="201"/>
    </row>
    <row r="923">
      <c r="A923" s="202"/>
      <c r="B923" s="202"/>
      <c r="C923" s="201"/>
    </row>
    <row r="924">
      <c r="A924" s="202"/>
      <c r="B924" s="202"/>
      <c r="C924" s="201"/>
    </row>
    <row r="925">
      <c r="A925" s="202"/>
      <c r="B925" s="202"/>
      <c r="C925" s="201"/>
    </row>
    <row r="926">
      <c r="A926" s="202"/>
      <c r="B926" s="202"/>
      <c r="C926" s="201"/>
    </row>
    <row r="927">
      <c r="A927" s="202"/>
      <c r="B927" s="202"/>
      <c r="C927" s="201"/>
    </row>
    <row r="928">
      <c r="A928" s="202"/>
      <c r="B928" s="202"/>
      <c r="C928" s="201"/>
    </row>
    <row r="929">
      <c r="A929" s="202"/>
      <c r="B929" s="202"/>
      <c r="C929" s="201"/>
    </row>
    <row r="930">
      <c r="A930" s="202"/>
      <c r="B930" s="202"/>
      <c r="C930" s="201"/>
    </row>
    <row r="931">
      <c r="A931" s="202"/>
      <c r="B931" s="202"/>
      <c r="C931" s="201"/>
    </row>
    <row r="932">
      <c r="A932" s="202"/>
      <c r="B932" s="202"/>
      <c r="C932" s="201"/>
    </row>
    <row r="933">
      <c r="A933" s="202"/>
      <c r="B933" s="202"/>
      <c r="C933" s="201"/>
    </row>
    <row r="934">
      <c r="A934" s="202"/>
      <c r="B934" s="202"/>
      <c r="C934" s="201"/>
    </row>
    <row r="935">
      <c r="A935" s="202"/>
      <c r="B935" s="202"/>
      <c r="C935" s="201"/>
    </row>
    <row r="936">
      <c r="A936" s="202"/>
      <c r="B936" s="202"/>
      <c r="C936" s="201"/>
    </row>
    <row r="937">
      <c r="A937" s="202"/>
      <c r="B937" s="202"/>
      <c r="C937" s="201"/>
    </row>
    <row r="938">
      <c r="A938" s="202"/>
      <c r="B938" s="202"/>
      <c r="C938" s="201"/>
    </row>
    <row r="939">
      <c r="A939" s="202"/>
      <c r="B939" s="202"/>
      <c r="C939" s="201"/>
    </row>
    <row r="940">
      <c r="A940" s="202"/>
      <c r="B940" s="202"/>
      <c r="C940" s="201"/>
    </row>
    <row r="941">
      <c r="A941" s="202"/>
      <c r="B941" s="202"/>
      <c r="C941" s="201"/>
    </row>
    <row r="942">
      <c r="A942" s="202"/>
      <c r="B942" s="202"/>
      <c r="C942" s="201"/>
    </row>
    <row r="943">
      <c r="A943" s="202"/>
      <c r="B943" s="202"/>
      <c r="C943" s="201"/>
    </row>
    <row r="944">
      <c r="A944" s="202"/>
      <c r="B944" s="202"/>
      <c r="C944" s="201"/>
    </row>
    <row r="945">
      <c r="A945" s="202"/>
      <c r="B945" s="202"/>
      <c r="C945" s="201"/>
    </row>
    <row r="946">
      <c r="A946" s="202"/>
      <c r="B946" s="202"/>
      <c r="C946" s="201"/>
    </row>
    <row r="947">
      <c r="A947" s="202"/>
      <c r="B947" s="202"/>
      <c r="C947" s="201"/>
    </row>
    <row r="948">
      <c r="A948" s="202"/>
      <c r="B948" s="202"/>
      <c r="C948" s="201"/>
    </row>
    <row r="949">
      <c r="A949" s="202"/>
      <c r="B949" s="202"/>
      <c r="C949" s="201"/>
    </row>
    <row r="950">
      <c r="A950" s="202"/>
      <c r="B950" s="202"/>
      <c r="C950" s="201"/>
    </row>
    <row r="951">
      <c r="A951" s="202"/>
      <c r="B951" s="202"/>
      <c r="C951" s="201"/>
    </row>
    <row r="952">
      <c r="A952" s="202"/>
      <c r="B952" s="202"/>
      <c r="C952" s="201"/>
    </row>
    <row r="953">
      <c r="A953" s="202"/>
      <c r="B953" s="202"/>
      <c r="C953" s="201"/>
    </row>
    <row r="954">
      <c r="A954" s="202"/>
      <c r="B954" s="202"/>
      <c r="C954" s="201"/>
    </row>
    <row r="955">
      <c r="A955" s="202"/>
      <c r="B955" s="202"/>
      <c r="C955" s="201"/>
    </row>
    <row r="956">
      <c r="A956" s="202"/>
      <c r="B956" s="202"/>
      <c r="C956" s="201"/>
    </row>
    <row r="957">
      <c r="A957" s="202"/>
      <c r="B957" s="202"/>
      <c r="C957" s="201"/>
    </row>
    <row r="958">
      <c r="A958" s="202"/>
      <c r="B958" s="202"/>
      <c r="C958" s="201"/>
    </row>
    <row r="959">
      <c r="A959" s="202"/>
      <c r="B959" s="202"/>
      <c r="C959" s="201"/>
    </row>
    <row r="960">
      <c r="A960" s="202"/>
      <c r="B960" s="202"/>
      <c r="C960" s="201"/>
    </row>
    <row r="961">
      <c r="A961" s="202"/>
      <c r="B961" s="202"/>
      <c r="C961" s="201"/>
    </row>
    <row r="962">
      <c r="A962" s="202"/>
      <c r="B962" s="202"/>
      <c r="C962" s="201"/>
    </row>
    <row r="963">
      <c r="A963" s="202"/>
      <c r="B963" s="202"/>
      <c r="C963" s="201"/>
    </row>
    <row r="964">
      <c r="A964" s="202"/>
      <c r="B964" s="202"/>
      <c r="C964" s="201"/>
    </row>
    <row r="965">
      <c r="A965" s="202"/>
      <c r="B965" s="202"/>
      <c r="C965" s="201"/>
    </row>
    <row r="966">
      <c r="A966" s="202"/>
      <c r="B966" s="202"/>
      <c r="C966" s="201"/>
    </row>
    <row r="967">
      <c r="A967" s="202"/>
      <c r="B967" s="202"/>
      <c r="C967" s="201"/>
    </row>
    <row r="968">
      <c r="A968" s="202"/>
      <c r="B968" s="202"/>
      <c r="C968" s="201"/>
    </row>
    <row r="969">
      <c r="A969" s="202"/>
      <c r="B969" s="202"/>
      <c r="C969" s="201"/>
    </row>
    <row r="970">
      <c r="A970" s="202"/>
      <c r="B970" s="202"/>
      <c r="C970" s="201"/>
    </row>
    <row r="971">
      <c r="A971" s="202"/>
      <c r="B971" s="202"/>
      <c r="C971" s="201"/>
    </row>
    <row r="972">
      <c r="A972" s="202"/>
      <c r="B972" s="202"/>
      <c r="C972" s="201"/>
    </row>
    <row r="973">
      <c r="A973" s="202"/>
      <c r="B973" s="202"/>
      <c r="C973" s="201"/>
    </row>
    <row r="974">
      <c r="A974" s="202"/>
      <c r="B974" s="202"/>
      <c r="C974" s="201"/>
    </row>
    <row r="975">
      <c r="A975" s="202"/>
      <c r="B975" s="202"/>
      <c r="C975" s="201"/>
    </row>
    <row r="976">
      <c r="A976" s="202"/>
      <c r="B976" s="202"/>
      <c r="C976" s="201"/>
    </row>
    <row r="977">
      <c r="A977" s="202"/>
      <c r="B977" s="202"/>
      <c r="C977" s="201"/>
    </row>
    <row r="978">
      <c r="A978" s="202"/>
      <c r="B978" s="202"/>
      <c r="C978" s="201"/>
    </row>
    <row r="979">
      <c r="A979" s="202"/>
      <c r="B979" s="202"/>
      <c r="C979" s="201"/>
    </row>
    <row r="980">
      <c r="A980" s="202"/>
      <c r="B980" s="202"/>
      <c r="C980" s="201"/>
    </row>
    <row r="981">
      <c r="A981" s="202"/>
      <c r="B981" s="202"/>
      <c r="C981" s="201"/>
    </row>
    <row r="982">
      <c r="A982" s="202"/>
      <c r="B982" s="202"/>
      <c r="C982" s="201"/>
    </row>
    <row r="983">
      <c r="A983" s="202"/>
      <c r="B983" s="202"/>
      <c r="C983" s="201"/>
    </row>
    <row r="984">
      <c r="A984" s="202"/>
      <c r="B984" s="202"/>
      <c r="C984" s="201"/>
    </row>
    <row r="985">
      <c r="A985" s="202"/>
      <c r="B985" s="202"/>
      <c r="C985" s="201"/>
    </row>
    <row r="986">
      <c r="A986" s="202"/>
      <c r="B986" s="202"/>
      <c r="C986" s="201"/>
    </row>
    <row r="987">
      <c r="A987" s="202"/>
      <c r="B987" s="202"/>
      <c r="C987" s="201"/>
    </row>
    <row r="988">
      <c r="A988" s="202"/>
      <c r="B988" s="202"/>
      <c r="C988" s="201"/>
    </row>
    <row r="989">
      <c r="A989" s="202"/>
      <c r="B989" s="202"/>
      <c r="C989" s="201"/>
    </row>
    <row r="990">
      <c r="A990" s="202"/>
      <c r="B990" s="202"/>
      <c r="C990" s="201"/>
    </row>
    <row r="991">
      <c r="A991" s="202"/>
      <c r="B991" s="202"/>
      <c r="C991" s="201"/>
    </row>
    <row r="992">
      <c r="A992" s="202"/>
      <c r="B992" s="202"/>
      <c r="C992" s="201"/>
    </row>
    <row r="993">
      <c r="A993" s="202"/>
      <c r="B993" s="202"/>
      <c r="C993" s="201"/>
    </row>
    <row r="994">
      <c r="A994" s="202"/>
      <c r="B994" s="202"/>
      <c r="C994" s="201"/>
    </row>
    <row r="995">
      <c r="A995" s="202"/>
      <c r="B995" s="202"/>
      <c r="C995" s="201"/>
    </row>
    <row r="996">
      <c r="A996" s="202"/>
      <c r="B996" s="202"/>
      <c r="C996" s="201"/>
    </row>
    <row r="997">
      <c r="A997" s="202"/>
      <c r="B997" s="202"/>
      <c r="C997" s="201"/>
    </row>
    <row r="998">
      <c r="A998" s="202"/>
      <c r="B998" s="202"/>
      <c r="C998" s="201"/>
    </row>
    <row r="999">
      <c r="A999" s="202"/>
      <c r="B999" s="202"/>
      <c r="C999" s="201"/>
    </row>
    <row r="1000">
      <c r="A1000" s="202"/>
      <c r="B1000" s="202"/>
      <c r="C1000" s="20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25.13"/>
    <col customWidth="1" hidden="1" min="3" max="3" width="17.88"/>
    <col customWidth="1" hidden="1" min="4" max="4" width="20.13"/>
    <col customWidth="1" min="5" max="5" width="13.0"/>
    <col customWidth="1" min="6" max="6" width="13.88"/>
    <col customWidth="1" min="7" max="7" width="14.13"/>
    <col customWidth="1" min="8" max="8" width="15.13"/>
    <col customWidth="1" min="9" max="9" width="14.13"/>
    <col customWidth="1" min="10" max="10" width="24.5"/>
    <col customWidth="1" min="11" max="11" width="16.75"/>
    <col customWidth="1" min="12" max="12" width="12.75"/>
    <col customWidth="1" min="13" max="13" width="25.75"/>
    <col customWidth="1" min="14" max="14" width="59.63"/>
  </cols>
  <sheetData>
    <row r="1">
      <c r="A1" s="1" t="s">
        <v>456</v>
      </c>
      <c r="B1" s="2" t="s">
        <v>457</v>
      </c>
      <c r="C1" s="2" t="s">
        <v>2</v>
      </c>
      <c r="D1" s="3" t="s">
        <v>458</v>
      </c>
      <c r="E1" s="2" t="s">
        <v>459</v>
      </c>
      <c r="F1" s="2" t="s">
        <v>11</v>
      </c>
      <c r="G1" s="2" t="s">
        <v>12</v>
      </c>
      <c r="H1" s="2" t="s">
        <v>13</v>
      </c>
      <c r="I1" s="2" t="s">
        <v>14</v>
      </c>
      <c r="J1" s="2" t="s">
        <v>15</v>
      </c>
      <c r="K1" s="2" t="s">
        <v>16</v>
      </c>
      <c r="L1" s="2" t="s">
        <v>17</v>
      </c>
      <c r="M1" s="4" t="s">
        <v>18</v>
      </c>
      <c r="N1" s="203" t="s">
        <v>19</v>
      </c>
    </row>
    <row r="2">
      <c r="A2" s="204">
        <v>1.0</v>
      </c>
      <c r="B2" s="9" t="s">
        <v>460</v>
      </c>
      <c r="C2" s="13" t="s">
        <v>461</v>
      </c>
      <c r="D2" s="205" t="s">
        <v>45</v>
      </c>
      <c r="E2" s="13" t="s">
        <v>462</v>
      </c>
      <c r="F2" s="13" t="s">
        <v>60</v>
      </c>
      <c r="G2" s="13" t="s">
        <v>37</v>
      </c>
      <c r="H2" s="10" t="b">
        <v>0</v>
      </c>
      <c r="I2" s="14">
        <v>4.049185707E9</v>
      </c>
      <c r="J2" s="15" t="s">
        <v>463</v>
      </c>
      <c r="K2" s="15" t="s">
        <v>134</v>
      </c>
      <c r="L2" s="15" t="s">
        <v>124</v>
      </c>
      <c r="M2" s="89" t="s">
        <v>464</v>
      </c>
      <c r="N2" s="103" t="s">
        <v>465</v>
      </c>
    </row>
    <row r="3">
      <c r="A3" s="206">
        <v>2.0</v>
      </c>
      <c r="B3" s="21" t="s">
        <v>43</v>
      </c>
      <c r="C3" s="24" t="s">
        <v>466</v>
      </c>
      <c r="D3" s="207" t="s">
        <v>45</v>
      </c>
      <c r="E3" s="24" t="s">
        <v>462</v>
      </c>
      <c r="F3" s="24" t="s">
        <v>36</v>
      </c>
      <c r="G3" s="24" t="s">
        <v>37</v>
      </c>
      <c r="H3" s="22" t="b">
        <v>0</v>
      </c>
      <c r="I3" s="25">
        <v>7.037255084E9</v>
      </c>
      <c r="J3" s="26" t="s">
        <v>46</v>
      </c>
      <c r="K3" s="26" t="s">
        <v>47</v>
      </c>
      <c r="L3" s="26" t="s">
        <v>48</v>
      </c>
      <c r="M3" s="27" t="s">
        <v>49</v>
      </c>
      <c r="N3" s="208" t="s">
        <v>50</v>
      </c>
    </row>
    <row r="4">
      <c r="A4" s="204">
        <v>3.0</v>
      </c>
      <c r="B4" s="16" t="s">
        <v>132</v>
      </c>
      <c r="C4" s="13" t="s">
        <v>461</v>
      </c>
      <c r="D4" s="209" t="s">
        <v>45</v>
      </c>
      <c r="E4" s="13" t="s">
        <v>462</v>
      </c>
      <c r="F4" s="13" t="s">
        <v>60</v>
      </c>
      <c r="G4" s="13" t="s">
        <v>37</v>
      </c>
      <c r="H4" s="10" t="b">
        <v>0</v>
      </c>
      <c r="I4" s="33">
        <v>4.04935276E9</v>
      </c>
      <c r="J4" s="15" t="s">
        <v>133</v>
      </c>
      <c r="K4" s="15" t="s">
        <v>134</v>
      </c>
      <c r="L4" s="15" t="s">
        <v>124</v>
      </c>
      <c r="M4" s="34" t="s">
        <v>135</v>
      </c>
      <c r="N4" s="95" t="s">
        <v>136</v>
      </c>
    </row>
    <row r="5">
      <c r="A5" s="206">
        <v>4.0</v>
      </c>
      <c r="B5" s="86" t="s">
        <v>467</v>
      </c>
      <c r="C5" s="24" t="s">
        <v>466</v>
      </c>
      <c r="D5" s="210" t="s">
        <v>468</v>
      </c>
      <c r="E5" s="24" t="s">
        <v>462</v>
      </c>
      <c r="F5" s="24" t="s">
        <v>36</v>
      </c>
      <c r="G5" s="24" t="s">
        <v>53</v>
      </c>
      <c r="H5" s="22" t="b">
        <v>1</v>
      </c>
      <c r="I5" s="94">
        <v>9.733492734E9</v>
      </c>
      <c r="J5" s="26" t="s">
        <v>54</v>
      </c>
      <c r="K5" s="86" t="s">
        <v>55</v>
      </c>
      <c r="L5" s="86" t="s">
        <v>56</v>
      </c>
      <c r="M5" s="71" t="s">
        <v>57</v>
      </c>
      <c r="N5" s="211" t="s">
        <v>58</v>
      </c>
    </row>
    <row r="6">
      <c r="A6" s="204">
        <v>5.0</v>
      </c>
      <c r="B6" s="153" t="s">
        <v>86</v>
      </c>
      <c r="C6" s="13" t="s">
        <v>469</v>
      </c>
      <c r="D6" s="212" t="s">
        <v>45</v>
      </c>
      <c r="E6" s="13" t="s">
        <v>462</v>
      </c>
      <c r="F6" s="13" t="s">
        <v>60</v>
      </c>
      <c r="G6" s="13" t="s">
        <v>37</v>
      </c>
      <c r="H6" s="10" t="b">
        <v>0</v>
      </c>
      <c r="I6" s="14">
        <v>9.1720775E9</v>
      </c>
      <c r="J6" s="15" t="s">
        <v>88</v>
      </c>
      <c r="K6" s="15" t="s">
        <v>89</v>
      </c>
      <c r="L6" s="15" t="s">
        <v>77</v>
      </c>
      <c r="M6" s="34" t="s">
        <v>90</v>
      </c>
      <c r="N6" s="118"/>
    </row>
    <row r="7">
      <c r="A7" s="206">
        <v>6.0</v>
      </c>
      <c r="B7" s="26" t="s">
        <v>97</v>
      </c>
      <c r="C7" s="24" t="s">
        <v>461</v>
      </c>
      <c r="D7" s="213" t="s">
        <v>470</v>
      </c>
      <c r="E7" s="24" t="s">
        <v>462</v>
      </c>
      <c r="F7" s="24" t="s">
        <v>60</v>
      </c>
      <c r="G7" s="24" t="s">
        <v>37</v>
      </c>
      <c r="H7" s="22" t="b">
        <v>0</v>
      </c>
      <c r="I7" s="25">
        <v>2.036278473E9</v>
      </c>
      <c r="J7" s="26" t="s">
        <v>99</v>
      </c>
      <c r="K7" s="26"/>
      <c r="L7" s="26" t="s">
        <v>100</v>
      </c>
      <c r="M7" s="71"/>
      <c r="N7" s="85"/>
    </row>
    <row r="8">
      <c r="A8" s="204">
        <v>7.0</v>
      </c>
      <c r="B8" s="15" t="s">
        <v>471</v>
      </c>
      <c r="C8" s="13" t="s">
        <v>472</v>
      </c>
      <c r="D8" s="214" t="s">
        <v>470</v>
      </c>
      <c r="E8" s="13" t="s">
        <v>462</v>
      </c>
      <c r="F8" s="13" t="s">
        <v>36</v>
      </c>
      <c r="G8" s="13" t="s">
        <v>37</v>
      </c>
      <c r="H8" s="10" t="b">
        <v>0</v>
      </c>
      <c r="I8" s="14">
        <v>3.057998502E9</v>
      </c>
      <c r="J8" s="15" t="s">
        <v>38</v>
      </c>
      <c r="K8" s="15" t="s">
        <v>39</v>
      </c>
      <c r="L8" s="15" t="s">
        <v>40</v>
      </c>
      <c r="M8" s="16" t="s">
        <v>41</v>
      </c>
      <c r="N8" s="103" t="s">
        <v>42</v>
      </c>
    </row>
    <row r="9">
      <c r="A9" s="206">
        <v>8.0</v>
      </c>
      <c r="B9" s="26" t="s">
        <v>473</v>
      </c>
      <c r="C9" s="24" t="s">
        <v>466</v>
      </c>
      <c r="D9" s="215" t="s">
        <v>468</v>
      </c>
      <c r="E9" s="24" t="s">
        <v>462</v>
      </c>
      <c r="F9" s="24" t="s">
        <v>36</v>
      </c>
      <c r="G9" s="24" t="s">
        <v>53</v>
      </c>
      <c r="H9" s="22" t="b">
        <v>1</v>
      </c>
      <c r="I9" s="25">
        <v>8.47714304E9</v>
      </c>
      <c r="J9" s="26" t="s">
        <v>117</v>
      </c>
      <c r="K9" s="26" t="s">
        <v>118</v>
      </c>
      <c r="L9" s="26" t="s">
        <v>48</v>
      </c>
      <c r="M9" s="71" t="s">
        <v>119</v>
      </c>
      <c r="N9" s="216" t="s">
        <v>120</v>
      </c>
    </row>
    <row r="10">
      <c r="A10" s="204">
        <v>9.0</v>
      </c>
      <c r="B10" s="9" t="s">
        <v>474</v>
      </c>
      <c r="C10" s="13" t="s">
        <v>466</v>
      </c>
      <c r="D10" s="217" t="s">
        <v>45</v>
      </c>
      <c r="E10" s="13" t="s">
        <v>462</v>
      </c>
      <c r="F10" s="13" t="s">
        <v>60</v>
      </c>
      <c r="G10" s="13" t="s">
        <v>37</v>
      </c>
      <c r="H10" s="10" t="b">
        <v>0</v>
      </c>
      <c r="I10" s="14">
        <v>4.04357093E9</v>
      </c>
      <c r="J10" s="15" t="s">
        <v>163</v>
      </c>
      <c r="K10" s="15" t="s">
        <v>83</v>
      </c>
      <c r="L10" s="15" t="s">
        <v>84</v>
      </c>
      <c r="M10" s="89" t="s">
        <v>164</v>
      </c>
      <c r="N10" s="103" t="s">
        <v>165</v>
      </c>
    </row>
    <row r="11">
      <c r="A11" s="206">
        <v>10.0</v>
      </c>
      <c r="B11" s="190" t="s">
        <v>91</v>
      </c>
      <c r="C11" s="24" t="s">
        <v>466</v>
      </c>
      <c r="D11" s="218" t="s">
        <v>45</v>
      </c>
      <c r="E11" s="24" t="s">
        <v>462</v>
      </c>
      <c r="F11" s="24" t="s">
        <v>36</v>
      </c>
      <c r="G11" s="24" t="s">
        <v>37</v>
      </c>
      <c r="H11" s="22" t="b">
        <v>0</v>
      </c>
      <c r="I11" s="25">
        <v>4.15250005E9</v>
      </c>
      <c r="J11" s="26" t="s">
        <v>93</v>
      </c>
      <c r="K11" s="26" t="s">
        <v>94</v>
      </c>
      <c r="L11" s="26" t="s">
        <v>84</v>
      </c>
      <c r="M11" s="71" t="s">
        <v>95</v>
      </c>
      <c r="N11" s="216" t="s">
        <v>96</v>
      </c>
    </row>
    <row r="12">
      <c r="A12" s="204">
        <v>11.0</v>
      </c>
      <c r="B12" s="15" t="s">
        <v>290</v>
      </c>
      <c r="C12" s="12"/>
      <c r="D12" s="12"/>
      <c r="E12" s="13" t="s">
        <v>462</v>
      </c>
      <c r="F12" s="13" t="s">
        <v>60</v>
      </c>
      <c r="G12" s="13" t="s">
        <v>37</v>
      </c>
      <c r="H12" s="10" t="b">
        <v>0</v>
      </c>
      <c r="I12" s="14">
        <v>1.5164246465E10</v>
      </c>
      <c r="J12" s="15" t="s">
        <v>291</v>
      </c>
      <c r="K12" s="15" t="s">
        <v>292</v>
      </c>
      <c r="L12" s="15" t="s">
        <v>105</v>
      </c>
      <c r="M12" s="82"/>
      <c r="N12" s="95" t="s">
        <v>475</v>
      </c>
    </row>
    <row r="13">
      <c r="A13" s="206">
        <v>12.0</v>
      </c>
      <c r="B13" s="21" t="s">
        <v>476</v>
      </c>
      <c r="C13" s="24" t="s">
        <v>466</v>
      </c>
      <c r="D13" s="219" t="s">
        <v>45</v>
      </c>
      <c r="E13" s="24" t="s">
        <v>462</v>
      </c>
      <c r="F13" s="24" t="s">
        <v>60</v>
      </c>
      <c r="G13" s="24" t="s">
        <v>53</v>
      </c>
      <c r="H13" s="22" t="b">
        <v>1</v>
      </c>
      <c r="I13" s="25">
        <v>8.048367766E9</v>
      </c>
      <c r="J13" s="26" t="s">
        <v>82</v>
      </c>
      <c r="K13" s="26" t="s">
        <v>83</v>
      </c>
      <c r="L13" s="26" t="s">
        <v>84</v>
      </c>
      <c r="M13" s="71" t="s">
        <v>85</v>
      </c>
      <c r="N13" s="85"/>
    </row>
    <row r="14">
      <c r="A14" s="204">
        <v>13.0</v>
      </c>
      <c r="B14" s="9" t="s">
        <v>121</v>
      </c>
      <c r="C14" s="13" t="s">
        <v>466</v>
      </c>
      <c r="D14" s="220" t="s">
        <v>45</v>
      </c>
      <c r="E14" s="13" t="s">
        <v>462</v>
      </c>
      <c r="F14" s="13" t="s">
        <v>60</v>
      </c>
      <c r="G14" s="13" t="s">
        <v>37</v>
      </c>
      <c r="H14" s="10" t="b">
        <v>0</v>
      </c>
      <c r="I14" s="14">
        <v>6.785965293E9</v>
      </c>
      <c r="J14" s="15" t="s">
        <v>122</v>
      </c>
      <c r="K14" s="15" t="s">
        <v>123</v>
      </c>
      <c r="L14" s="15" t="s">
        <v>124</v>
      </c>
      <c r="M14" s="89" t="s">
        <v>125</v>
      </c>
      <c r="N14" s="103" t="s">
        <v>126</v>
      </c>
    </row>
    <row r="15">
      <c r="A15" s="206">
        <v>14.0</v>
      </c>
      <c r="B15" s="21" t="s">
        <v>73</v>
      </c>
      <c r="C15" s="24" t="s">
        <v>466</v>
      </c>
      <c r="D15" s="11" t="s">
        <v>45</v>
      </c>
      <c r="E15" s="24" t="s">
        <v>462</v>
      </c>
      <c r="F15" s="24" t="s">
        <v>60</v>
      </c>
      <c r="G15" s="24" t="s">
        <v>37</v>
      </c>
      <c r="H15" s="22" t="b">
        <v>0</v>
      </c>
      <c r="I15" s="25">
        <v>5.16680655E9</v>
      </c>
      <c r="J15" s="26" t="s">
        <v>75</v>
      </c>
      <c r="K15" s="26" t="s">
        <v>76</v>
      </c>
      <c r="L15" s="26" t="s">
        <v>77</v>
      </c>
      <c r="M15" s="66" t="s">
        <v>78</v>
      </c>
      <c r="N15" s="208" t="s">
        <v>79</v>
      </c>
    </row>
    <row r="16">
      <c r="A16" s="204">
        <v>15.0</v>
      </c>
      <c r="B16" s="128" t="s">
        <v>477</v>
      </c>
      <c r="C16" s="13" t="s">
        <v>466</v>
      </c>
      <c r="D16" s="217" t="s">
        <v>45</v>
      </c>
      <c r="E16" s="13" t="s">
        <v>462</v>
      </c>
      <c r="F16" s="13" t="s">
        <v>36</v>
      </c>
      <c r="G16" s="13" t="s">
        <v>37</v>
      </c>
      <c r="H16" s="10" t="b">
        <v>0</v>
      </c>
      <c r="I16" s="14">
        <v>2.152757119E9</v>
      </c>
      <c r="J16" s="15" t="s">
        <v>68</v>
      </c>
      <c r="K16" s="15" t="s">
        <v>69</v>
      </c>
      <c r="L16" s="15" t="s">
        <v>70</v>
      </c>
      <c r="M16" s="82"/>
      <c r="N16" s="118"/>
    </row>
    <row r="17">
      <c r="A17" s="206">
        <v>16.0</v>
      </c>
      <c r="B17" s="86" t="s">
        <v>478</v>
      </c>
      <c r="C17" s="24" t="s">
        <v>461</v>
      </c>
      <c r="D17" s="207" t="s">
        <v>45</v>
      </c>
      <c r="E17" s="24" t="s">
        <v>462</v>
      </c>
      <c r="F17" s="24" t="s">
        <v>36</v>
      </c>
      <c r="G17" s="24" t="s">
        <v>53</v>
      </c>
      <c r="H17" s="22" t="b">
        <v>1</v>
      </c>
      <c r="I17" s="94">
        <v>6.179092103E9</v>
      </c>
      <c r="J17" s="26" t="s">
        <v>103</v>
      </c>
      <c r="K17" s="86" t="s">
        <v>104</v>
      </c>
      <c r="L17" s="86" t="s">
        <v>105</v>
      </c>
      <c r="M17" s="71" t="s">
        <v>85</v>
      </c>
      <c r="N17" s="216" t="s">
        <v>106</v>
      </c>
    </row>
    <row r="18">
      <c r="A18" s="152">
        <v>17.0</v>
      </c>
      <c r="B18" s="9" t="s">
        <v>107</v>
      </c>
      <c r="C18" s="13" t="s">
        <v>466</v>
      </c>
      <c r="D18" s="220" t="s">
        <v>45</v>
      </c>
      <c r="E18" s="13" t="s">
        <v>462</v>
      </c>
      <c r="F18" s="13" t="s">
        <v>60</v>
      </c>
      <c r="G18" s="13" t="s">
        <v>37</v>
      </c>
      <c r="H18" s="10" t="b">
        <v>0</v>
      </c>
      <c r="I18" s="14">
        <v>6.464944658E9</v>
      </c>
      <c r="J18" s="15" t="s">
        <v>479</v>
      </c>
      <c r="K18" s="67"/>
      <c r="L18" s="15" t="s">
        <v>109</v>
      </c>
      <c r="M18" s="82"/>
      <c r="N18" s="95" t="s">
        <v>110</v>
      </c>
    </row>
    <row r="19">
      <c r="A19" s="144">
        <v>18.0</v>
      </c>
      <c r="B19" s="21" t="s">
        <v>206</v>
      </c>
      <c r="C19" s="24" t="s">
        <v>466</v>
      </c>
      <c r="D19" s="217" t="s">
        <v>45</v>
      </c>
      <c r="E19" s="24" t="s">
        <v>462</v>
      </c>
      <c r="F19" s="24" t="s">
        <v>36</v>
      </c>
      <c r="G19" s="24" t="s">
        <v>37</v>
      </c>
      <c r="H19" s="22" t="b">
        <v>0</v>
      </c>
      <c r="I19" s="25">
        <v>6.318918133E9</v>
      </c>
      <c r="J19" s="26" t="s">
        <v>207</v>
      </c>
      <c r="K19" s="26" t="s">
        <v>208</v>
      </c>
      <c r="L19" s="26" t="s">
        <v>77</v>
      </c>
      <c r="M19" s="66" t="s">
        <v>209</v>
      </c>
      <c r="N19" s="208" t="s">
        <v>480</v>
      </c>
    </row>
    <row r="20">
      <c r="A20" s="204">
        <v>19.0</v>
      </c>
      <c r="B20" s="9" t="s">
        <v>127</v>
      </c>
      <c r="C20" s="13" t="s">
        <v>466</v>
      </c>
      <c r="D20" s="218" t="s">
        <v>45</v>
      </c>
      <c r="E20" s="13" t="s">
        <v>462</v>
      </c>
      <c r="F20" s="13" t="s">
        <v>60</v>
      </c>
      <c r="G20" s="13" t="s">
        <v>37</v>
      </c>
      <c r="H20" s="10" t="b">
        <v>0</v>
      </c>
      <c r="I20" s="14">
        <v>9.143291484E9</v>
      </c>
      <c r="J20" s="15" t="s">
        <v>128</v>
      </c>
      <c r="K20" s="15" t="s">
        <v>129</v>
      </c>
      <c r="L20" s="15" t="s">
        <v>40</v>
      </c>
      <c r="M20" s="89" t="s">
        <v>130</v>
      </c>
      <c r="N20" s="221" t="s">
        <v>131</v>
      </c>
    </row>
    <row r="21">
      <c r="A21" s="206">
        <v>20.0</v>
      </c>
      <c r="B21" s="190" t="s">
        <v>481</v>
      </c>
      <c r="C21" s="24" t="s">
        <v>466</v>
      </c>
      <c r="D21" s="222" t="s">
        <v>45</v>
      </c>
      <c r="E21" s="24" t="s">
        <v>462</v>
      </c>
      <c r="F21" s="24" t="s">
        <v>60</v>
      </c>
      <c r="G21" s="24" t="s">
        <v>53</v>
      </c>
      <c r="H21" s="22" t="b">
        <v>1</v>
      </c>
      <c r="I21" s="25">
        <v>8.609785063E9</v>
      </c>
      <c r="J21" s="26" t="s">
        <v>202</v>
      </c>
      <c r="K21" s="26" t="s">
        <v>203</v>
      </c>
      <c r="L21" s="26" t="s">
        <v>56</v>
      </c>
      <c r="M21" s="104" t="s">
        <v>204</v>
      </c>
      <c r="N21" s="223" t="s">
        <v>205</v>
      </c>
    </row>
    <row r="22">
      <c r="A22" s="204">
        <v>21.0</v>
      </c>
      <c r="B22" s="9" t="s">
        <v>482</v>
      </c>
      <c r="C22" s="13" t="s">
        <v>466</v>
      </c>
      <c r="D22" s="220" t="s">
        <v>45</v>
      </c>
      <c r="E22" s="13" t="s">
        <v>462</v>
      </c>
      <c r="F22" s="13" t="s">
        <v>60</v>
      </c>
      <c r="G22" s="13" t="s">
        <v>37</v>
      </c>
      <c r="H22" s="10" t="b">
        <v>0</v>
      </c>
      <c r="I22" s="14">
        <v>8.044189075E9</v>
      </c>
      <c r="J22" s="15" t="s">
        <v>181</v>
      </c>
      <c r="K22" s="15" t="s">
        <v>83</v>
      </c>
      <c r="L22" s="15" t="s">
        <v>84</v>
      </c>
      <c r="M22" s="89" t="s">
        <v>182</v>
      </c>
      <c r="N22" s="221" t="s">
        <v>183</v>
      </c>
    </row>
    <row r="23">
      <c r="A23" s="206">
        <v>22.0</v>
      </c>
      <c r="B23" s="26" t="s">
        <v>195</v>
      </c>
      <c r="C23" s="24" t="s">
        <v>466</v>
      </c>
      <c r="D23" s="224" t="s">
        <v>45</v>
      </c>
      <c r="E23" s="24" t="s">
        <v>462</v>
      </c>
      <c r="F23" s="24" t="s">
        <v>60</v>
      </c>
      <c r="G23" s="24" t="s">
        <v>37</v>
      </c>
      <c r="H23" s="22" t="b">
        <v>0</v>
      </c>
      <c r="I23" s="25">
        <v>2.062955888E9</v>
      </c>
      <c r="J23" s="26" t="s">
        <v>196</v>
      </c>
      <c r="K23" s="26" t="s">
        <v>197</v>
      </c>
      <c r="L23" s="26" t="s">
        <v>198</v>
      </c>
      <c r="M23" s="28" t="s">
        <v>199</v>
      </c>
      <c r="N23" s="225" t="s">
        <v>200</v>
      </c>
    </row>
    <row r="24">
      <c r="A24" s="204">
        <v>23.0</v>
      </c>
      <c r="B24" s="15" t="s">
        <v>446</v>
      </c>
      <c r="C24" s="13" t="s">
        <v>466</v>
      </c>
      <c r="D24" s="218" t="s">
        <v>45</v>
      </c>
      <c r="E24" s="13" t="s">
        <v>462</v>
      </c>
      <c r="F24" s="13" t="s">
        <v>36</v>
      </c>
      <c r="G24" s="13" t="s">
        <v>37</v>
      </c>
      <c r="H24" s="10" t="b">
        <v>0</v>
      </c>
      <c r="I24" s="14">
        <v>8.185162885E9</v>
      </c>
      <c r="J24" s="15" t="s">
        <v>483</v>
      </c>
      <c r="K24" s="15" t="s">
        <v>484</v>
      </c>
      <c r="L24" s="15" t="s">
        <v>194</v>
      </c>
      <c r="M24" s="16" t="s">
        <v>485</v>
      </c>
      <c r="N24" s="221" t="s">
        <v>486</v>
      </c>
    </row>
    <row r="25">
      <c r="A25" s="206">
        <v>24.0</v>
      </c>
      <c r="B25" s="21" t="s">
        <v>487</v>
      </c>
      <c r="C25" s="24" t="s">
        <v>466</v>
      </c>
      <c r="D25" s="218" t="s">
        <v>45</v>
      </c>
      <c r="E25" s="24" t="s">
        <v>462</v>
      </c>
      <c r="F25" s="24" t="s">
        <v>60</v>
      </c>
      <c r="G25" s="24" t="s">
        <v>53</v>
      </c>
      <c r="H25" s="22" t="b">
        <v>1</v>
      </c>
      <c r="I25" s="25">
        <v>6.143710704E9</v>
      </c>
      <c r="J25" s="26" t="s">
        <v>488</v>
      </c>
      <c r="K25" s="26" t="s">
        <v>47</v>
      </c>
      <c r="L25" s="26" t="s">
        <v>48</v>
      </c>
      <c r="M25" s="66" t="s">
        <v>489</v>
      </c>
      <c r="N25" s="225" t="s">
        <v>490</v>
      </c>
    </row>
    <row r="26">
      <c r="A26" s="204">
        <v>25.0</v>
      </c>
      <c r="B26" s="153" t="s">
        <v>491</v>
      </c>
      <c r="C26" s="12"/>
      <c r="D26" s="12"/>
      <c r="E26" s="13" t="s">
        <v>462</v>
      </c>
      <c r="F26" s="13" t="s">
        <v>36</v>
      </c>
      <c r="G26" s="13" t="s">
        <v>37</v>
      </c>
      <c r="H26" s="10" t="b">
        <v>0</v>
      </c>
      <c r="I26" s="14">
        <v>1.9176269791E10</v>
      </c>
      <c r="J26" s="15" t="s">
        <v>492</v>
      </c>
      <c r="K26" s="15" t="s">
        <v>418</v>
      </c>
      <c r="L26" s="15" t="s">
        <v>77</v>
      </c>
      <c r="M26" s="82"/>
      <c r="N26" s="118"/>
    </row>
    <row r="27">
      <c r="A27" s="206">
        <v>26.0</v>
      </c>
      <c r="B27" s="21" t="s">
        <v>59</v>
      </c>
      <c r="C27" s="24" t="s">
        <v>466</v>
      </c>
      <c r="D27" s="226" t="s">
        <v>45</v>
      </c>
      <c r="E27" s="24" t="s">
        <v>462</v>
      </c>
      <c r="F27" s="24" t="s">
        <v>60</v>
      </c>
      <c r="G27" s="24" t="s">
        <v>37</v>
      </c>
      <c r="H27" s="22" t="b">
        <v>0</v>
      </c>
      <c r="I27" s="25">
        <v>9.723751491E9</v>
      </c>
      <c r="J27" s="26" t="s">
        <v>61</v>
      </c>
      <c r="K27" s="26" t="s">
        <v>62</v>
      </c>
      <c r="L27" s="26" t="s">
        <v>63</v>
      </c>
      <c r="M27" s="66" t="s">
        <v>64</v>
      </c>
      <c r="N27" s="225" t="s">
        <v>65</v>
      </c>
    </row>
    <row r="28">
      <c r="A28" s="204">
        <v>27.0</v>
      </c>
      <c r="B28" s="15" t="s">
        <v>444</v>
      </c>
      <c r="C28" s="12"/>
      <c r="D28" s="12"/>
      <c r="E28" s="13" t="s">
        <v>462</v>
      </c>
      <c r="F28" s="13" t="s">
        <v>60</v>
      </c>
      <c r="G28" s="13" t="s">
        <v>37</v>
      </c>
      <c r="H28" s="10" t="b">
        <v>0</v>
      </c>
      <c r="I28" s="14">
        <v>1.6466390964E10</v>
      </c>
      <c r="J28" s="15" t="s">
        <v>493</v>
      </c>
      <c r="K28" s="15" t="s">
        <v>494</v>
      </c>
      <c r="L28" s="15" t="s">
        <v>77</v>
      </c>
      <c r="M28" s="34" t="s">
        <v>495</v>
      </c>
      <c r="N28" s="118"/>
    </row>
    <row r="29">
      <c r="A29" s="206">
        <v>28.0</v>
      </c>
      <c r="B29" s="26" t="s">
        <v>496</v>
      </c>
      <c r="C29" s="24" t="s">
        <v>466</v>
      </c>
      <c r="D29" s="220" t="s">
        <v>45</v>
      </c>
      <c r="E29" s="24" t="s">
        <v>462</v>
      </c>
      <c r="F29" s="24" t="s">
        <v>36</v>
      </c>
      <c r="G29" s="24" t="s">
        <v>53</v>
      </c>
      <c r="H29" s="22" t="b">
        <v>1</v>
      </c>
      <c r="I29" s="25">
        <v>6.149156173E9</v>
      </c>
      <c r="J29" s="26" t="s">
        <v>138</v>
      </c>
      <c r="K29" s="26" t="s">
        <v>139</v>
      </c>
      <c r="L29" s="26" t="s">
        <v>109</v>
      </c>
      <c r="M29" s="86" t="s">
        <v>140</v>
      </c>
      <c r="N29" s="208" t="s">
        <v>141</v>
      </c>
    </row>
    <row r="30">
      <c r="A30" s="204">
        <v>29.0</v>
      </c>
      <c r="B30" s="16" t="s">
        <v>157</v>
      </c>
      <c r="C30" s="13" t="s">
        <v>466</v>
      </c>
      <c r="D30" s="217" t="s">
        <v>45</v>
      </c>
      <c r="E30" s="13" t="s">
        <v>462</v>
      </c>
      <c r="F30" s="13" t="s">
        <v>36</v>
      </c>
      <c r="G30" s="13" t="s">
        <v>37</v>
      </c>
      <c r="H30" s="10" t="b">
        <v>0</v>
      </c>
      <c r="I30" s="33">
        <v>7.032829087E9</v>
      </c>
      <c r="J30" s="15" t="s">
        <v>158</v>
      </c>
      <c r="K30" s="16" t="s">
        <v>159</v>
      </c>
      <c r="L30" s="16" t="s">
        <v>84</v>
      </c>
      <c r="M30" s="82"/>
      <c r="N30" s="95" t="s">
        <v>160</v>
      </c>
    </row>
    <row r="31">
      <c r="A31" s="206">
        <v>30.0</v>
      </c>
      <c r="B31" s="227" t="s">
        <v>216</v>
      </c>
      <c r="C31" s="24" t="s">
        <v>466</v>
      </c>
      <c r="D31" s="209" t="s">
        <v>45</v>
      </c>
      <c r="E31" s="24" t="s">
        <v>462</v>
      </c>
      <c r="F31" s="24" t="s">
        <v>60</v>
      </c>
      <c r="G31" s="24" t="s">
        <v>37</v>
      </c>
      <c r="H31" s="22" t="b">
        <v>0</v>
      </c>
      <c r="I31" s="25">
        <v>2.027462046E9</v>
      </c>
      <c r="J31" s="86" t="s">
        <v>217</v>
      </c>
      <c r="K31" s="86" t="s">
        <v>218</v>
      </c>
      <c r="L31" s="28" t="s">
        <v>105</v>
      </c>
      <c r="M31" s="107" t="s">
        <v>219</v>
      </c>
      <c r="N31" s="228" t="s">
        <v>497</v>
      </c>
    </row>
    <row r="32">
      <c r="A32" s="204">
        <v>31.0</v>
      </c>
      <c r="B32" s="15" t="s">
        <v>450</v>
      </c>
      <c r="C32" s="12"/>
      <c r="D32" s="12"/>
      <c r="E32" s="13" t="s">
        <v>462</v>
      </c>
      <c r="F32" s="13" t="s">
        <v>60</v>
      </c>
      <c r="G32" s="13" t="s">
        <v>37</v>
      </c>
      <c r="H32" s="10" t="b">
        <v>0</v>
      </c>
      <c r="I32" s="14">
        <v>1.347434922E10</v>
      </c>
      <c r="J32" s="15" t="s">
        <v>498</v>
      </c>
      <c r="K32" s="15" t="s">
        <v>499</v>
      </c>
      <c r="L32" s="15" t="s">
        <v>77</v>
      </c>
      <c r="M32" s="34" t="s">
        <v>500</v>
      </c>
      <c r="N32" s="95" t="s">
        <v>500</v>
      </c>
    </row>
    <row r="33">
      <c r="A33" s="206">
        <v>32.0</v>
      </c>
      <c r="B33" s="86" t="s">
        <v>501</v>
      </c>
      <c r="C33" s="24" t="s">
        <v>466</v>
      </c>
      <c r="D33" s="220" t="s">
        <v>502</v>
      </c>
      <c r="E33" s="24" t="s">
        <v>462</v>
      </c>
      <c r="F33" s="24" t="s">
        <v>36</v>
      </c>
      <c r="G33" s="24" t="s">
        <v>53</v>
      </c>
      <c r="H33" s="22" t="b">
        <v>1</v>
      </c>
      <c r="I33" s="25">
        <v>8.473702878E9</v>
      </c>
      <c r="J33" s="86" t="s">
        <v>503</v>
      </c>
      <c r="K33" s="86" t="s">
        <v>504</v>
      </c>
      <c r="L33" s="28" t="s">
        <v>505</v>
      </c>
      <c r="M33" s="79"/>
      <c r="N33" s="85"/>
    </row>
    <row r="34">
      <c r="A34" s="204">
        <v>33.0</v>
      </c>
      <c r="B34" s="15" t="s">
        <v>506</v>
      </c>
      <c r="C34" s="13" t="s">
        <v>466</v>
      </c>
      <c r="D34" s="11" t="s">
        <v>45</v>
      </c>
      <c r="E34" s="13" t="s">
        <v>462</v>
      </c>
      <c r="F34" s="13" t="s">
        <v>60</v>
      </c>
      <c r="G34" s="13" t="s">
        <v>37</v>
      </c>
      <c r="H34" s="10" t="b">
        <v>0</v>
      </c>
      <c r="I34" s="14">
        <v>9.720533405306E12</v>
      </c>
      <c r="J34" s="15" t="s">
        <v>507</v>
      </c>
      <c r="K34" s="15" t="s">
        <v>508</v>
      </c>
      <c r="L34" s="15" t="s">
        <v>509</v>
      </c>
      <c r="M34" s="90" t="s">
        <v>510</v>
      </c>
      <c r="N34" s="221" t="s">
        <v>511</v>
      </c>
    </row>
    <row r="35">
      <c r="A35" s="206">
        <v>34.0</v>
      </c>
      <c r="B35" s="21" t="s">
        <v>512</v>
      </c>
      <c r="C35" s="24" t="s">
        <v>472</v>
      </c>
      <c r="D35" s="205" t="s">
        <v>45</v>
      </c>
      <c r="E35" s="24" t="s">
        <v>462</v>
      </c>
      <c r="F35" s="24" t="s">
        <v>60</v>
      </c>
      <c r="G35" s="24" t="s">
        <v>37</v>
      </c>
      <c r="H35" s="22" t="b">
        <v>0</v>
      </c>
      <c r="I35" s="25">
        <v>4.127265408E9</v>
      </c>
      <c r="J35" s="26" t="s">
        <v>513</v>
      </c>
      <c r="K35" s="26" t="s">
        <v>514</v>
      </c>
      <c r="L35" s="26" t="s">
        <v>70</v>
      </c>
      <c r="M35" s="79"/>
      <c r="N35" s="85"/>
    </row>
    <row r="36">
      <c r="A36" s="204">
        <v>35.0</v>
      </c>
      <c r="B36" s="153" t="s">
        <v>383</v>
      </c>
      <c r="C36" s="13" t="s">
        <v>469</v>
      </c>
      <c r="D36" s="229" t="s">
        <v>45</v>
      </c>
      <c r="E36" s="13" t="s">
        <v>462</v>
      </c>
      <c r="F36" s="13" t="s">
        <v>36</v>
      </c>
      <c r="G36" s="13" t="s">
        <v>37</v>
      </c>
      <c r="H36" s="10" t="b">
        <v>0</v>
      </c>
      <c r="I36" s="14">
        <v>4.4392961E9</v>
      </c>
      <c r="J36" s="142" t="s">
        <v>384</v>
      </c>
      <c r="K36" s="15" t="s">
        <v>368</v>
      </c>
      <c r="L36" s="15" t="s">
        <v>105</v>
      </c>
      <c r="M36" s="82"/>
      <c r="N36" s="95" t="s">
        <v>385</v>
      </c>
    </row>
    <row r="37">
      <c r="A37" s="206">
        <v>36.0</v>
      </c>
      <c r="B37" s="86" t="s">
        <v>515</v>
      </c>
      <c r="C37" s="24" t="s">
        <v>461</v>
      </c>
      <c r="D37" s="230" t="s">
        <v>502</v>
      </c>
      <c r="E37" s="24" t="s">
        <v>462</v>
      </c>
      <c r="F37" s="24" t="s">
        <v>60</v>
      </c>
      <c r="G37" s="24" t="s">
        <v>53</v>
      </c>
      <c r="H37" s="22" t="b">
        <v>1</v>
      </c>
      <c r="I37" s="94">
        <v>5.165546319E9</v>
      </c>
      <c r="J37" s="26" t="s">
        <v>173</v>
      </c>
      <c r="K37" s="86" t="s">
        <v>174</v>
      </c>
      <c r="L37" s="86" t="s">
        <v>77</v>
      </c>
      <c r="M37" s="71" t="s">
        <v>175</v>
      </c>
      <c r="N37" s="216" t="s">
        <v>516</v>
      </c>
    </row>
    <row r="38">
      <c r="A38" s="204">
        <v>37.0</v>
      </c>
      <c r="B38" s="9" t="s">
        <v>166</v>
      </c>
      <c r="C38" s="13" t="s">
        <v>466</v>
      </c>
      <c r="D38" s="217" t="s">
        <v>45</v>
      </c>
      <c r="E38" s="13" t="s">
        <v>462</v>
      </c>
      <c r="F38" s="13" t="s">
        <v>60</v>
      </c>
      <c r="G38" s="13" t="s">
        <v>37</v>
      </c>
      <c r="H38" s="10" t="b">
        <v>0</v>
      </c>
      <c r="I38" s="14">
        <v>4.0422921E9</v>
      </c>
      <c r="J38" s="15" t="s">
        <v>167</v>
      </c>
      <c r="K38" s="15" t="s">
        <v>168</v>
      </c>
      <c r="L38" s="15" t="s">
        <v>124</v>
      </c>
      <c r="M38" s="34" t="s">
        <v>169</v>
      </c>
      <c r="N38" s="95" t="s">
        <v>517</v>
      </c>
    </row>
    <row r="39">
      <c r="A39" s="206">
        <v>38.0</v>
      </c>
      <c r="B39" s="26" t="s">
        <v>518</v>
      </c>
      <c r="C39" s="24" t="s">
        <v>466</v>
      </c>
      <c r="D39" s="218" t="s">
        <v>45</v>
      </c>
      <c r="E39" s="24" t="s">
        <v>462</v>
      </c>
      <c r="F39" s="24" t="s">
        <v>60</v>
      </c>
      <c r="G39" s="24" t="s">
        <v>37</v>
      </c>
      <c r="H39" s="22" t="b">
        <v>0</v>
      </c>
      <c r="I39" s="25">
        <v>3.109805189E9</v>
      </c>
      <c r="J39" s="26" t="s">
        <v>254</v>
      </c>
      <c r="K39" s="26" t="s">
        <v>193</v>
      </c>
      <c r="L39" s="26" t="s">
        <v>194</v>
      </c>
      <c r="M39" s="86" t="s">
        <v>255</v>
      </c>
      <c r="N39" s="225" t="s">
        <v>256</v>
      </c>
    </row>
    <row r="40">
      <c r="A40" s="204">
        <v>39.0</v>
      </c>
      <c r="B40" s="9" t="s">
        <v>227</v>
      </c>
      <c r="C40" s="13" t="s">
        <v>461</v>
      </c>
      <c r="D40" s="207" t="s">
        <v>45</v>
      </c>
      <c r="E40" s="13" t="s">
        <v>462</v>
      </c>
      <c r="F40" s="13" t="s">
        <v>36</v>
      </c>
      <c r="G40" s="13" t="s">
        <v>37</v>
      </c>
      <c r="H40" s="10" t="b">
        <v>0</v>
      </c>
      <c r="I40" s="14">
        <v>2.144557121E9</v>
      </c>
      <c r="J40" s="15" t="s">
        <v>228</v>
      </c>
      <c r="K40" s="15" t="s">
        <v>62</v>
      </c>
      <c r="L40" s="15" t="s">
        <v>63</v>
      </c>
      <c r="M40" s="89" t="s">
        <v>229</v>
      </c>
      <c r="N40" s="103" t="s">
        <v>230</v>
      </c>
    </row>
    <row r="41">
      <c r="A41" s="206">
        <v>40.0</v>
      </c>
      <c r="B41" s="130" t="s">
        <v>519</v>
      </c>
      <c r="C41" s="24" t="s">
        <v>466</v>
      </c>
      <c r="D41" s="220" t="s">
        <v>502</v>
      </c>
      <c r="E41" s="24" t="s">
        <v>462</v>
      </c>
      <c r="F41" s="24" t="s">
        <v>36</v>
      </c>
      <c r="G41" s="24" t="s">
        <v>53</v>
      </c>
      <c r="H41" s="22" t="b">
        <v>1</v>
      </c>
      <c r="I41" s="25">
        <v>8.655665406E9</v>
      </c>
      <c r="J41" s="26" t="s">
        <v>240</v>
      </c>
      <c r="K41" s="26" t="s">
        <v>241</v>
      </c>
      <c r="L41" s="26" t="s">
        <v>40</v>
      </c>
      <c r="M41" s="16" t="s">
        <v>242</v>
      </c>
      <c r="N41" s="103" t="s">
        <v>243</v>
      </c>
    </row>
    <row r="42">
      <c r="A42" s="204">
        <v>41.0</v>
      </c>
      <c r="B42" s="9" t="s">
        <v>520</v>
      </c>
      <c r="C42" s="13" t="s">
        <v>466</v>
      </c>
      <c r="D42" s="217" t="s">
        <v>45</v>
      </c>
      <c r="E42" s="13" t="s">
        <v>462</v>
      </c>
      <c r="F42" s="13" t="s">
        <v>60</v>
      </c>
      <c r="G42" s="13" t="s">
        <v>37</v>
      </c>
      <c r="H42" s="10" t="b">
        <v>0</v>
      </c>
      <c r="I42" s="14">
        <v>5.16295115E9</v>
      </c>
      <c r="J42" s="15" t="s">
        <v>521</v>
      </c>
      <c r="K42" s="14" t="s">
        <v>522</v>
      </c>
      <c r="L42" s="15" t="s">
        <v>77</v>
      </c>
      <c r="M42" s="34" t="s">
        <v>523</v>
      </c>
      <c r="N42" s="95" t="s">
        <v>524</v>
      </c>
    </row>
    <row r="43">
      <c r="A43" s="206">
        <v>42.0</v>
      </c>
      <c r="B43" s="26" t="s">
        <v>327</v>
      </c>
      <c r="C43" s="23"/>
      <c r="D43" s="23"/>
      <c r="E43" s="24" t="s">
        <v>462</v>
      </c>
      <c r="F43" s="24" t="s">
        <v>60</v>
      </c>
      <c r="G43" s="24" t="s">
        <v>37</v>
      </c>
      <c r="H43" s="22" t="b">
        <v>0</v>
      </c>
      <c r="I43" s="25">
        <v>1.91759737E10</v>
      </c>
      <c r="J43" s="26" t="s">
        <v>328</v>
      </c>
      <c r="K43" s="26" t="s">
        <v>329</v>
      </c>
      <c r="L43" s="26" t="s">
        <v>77</v>
      </c>
      <c r="M43" s="79"/>
      <c r="N43" s="85"/>
    </row>
    <row r="44">
      <c r="A44" s="204">
        <v>43.0</v>
      </c>
      <c r="B44" s="9" t="s">
        <v>276</v>
      </c>
      <c r="C44" s="13" t="s">
        <v>466</v>
      </c>
      <c r="D44" s="11" t="s">
        <v>45</v>
      </c>
      <c r="E44" s="13" t="s">
        <v>462</v>
      </c>
      <c r="F44" s="13" t="s">
        <v>60</v>
      </c>
      <c r="G44" s="13" t="s">
        <v>37</v>
      </c>
      <c r="H44" s="10" t="b">
        <v>0</v>
      </c>
      <c r="I44" s="14">
        <v>3.1023404E9</v>
      </c>
      <c r="J44" s="15" t="s">
        <v>277</v>
      </c>
      <c r="K44" s="15" t="s">
        <v>233</v>
      </c>
      <c r="L44" s="15" t="s">
        <v>194</v>
      </c>
      <c r="M44" s="34" t="s">
        <v>278</v>
      </c>
      <c r="N44" s="95" t="s">
        <v>279</v>
      </c>
    </row>
    <row r="45">
      <c r="A45" s="206">
        <v>44.0</v>
      </c>
      <c r="B45" s="21" t="s">
        <v>525</v>
      </c>
      <c r="C45" s="24" t="s">
        <v>466</v>
      </c>
      <c r="D45" s="217" t="s">
        <v>502</v>
      </c>
      <c r="E45" s="24" t="s">
        <v>462</v>
      </c>
      <c r="F45" s="24" t="s">
        <v>36</v>
      </c>
      <c r="G45" s="24" t="s">
        <v>53</v>
      </c>
      <c r="H45" s="22" t="b">
        <v>1</v>
      </c>
      <c r="I45" s="25">
        <v>3.038155935E9</v>
      </c>
      <c r="J45" s="26" t="s">
        <v>526</v>
      </c>
      <c r="K45" s="26" t="s">
        <v>527</v>
      </c>
      <c r="L45" s="26" t="s">
        <v>528</v>
      </c>
      <c r="M45" s="66" t="s">
        <v>529</v>
      </c>
      <c r="N45" s="225" t="s">
        <v>530</v>
      </c>
    </row>
    <row r="46">
      <c r="A46" s="204">
        <v>45.0</v>
      </c>
      <c r="B46" s="193" t="s">
        <v>349</v>
      </c>
      <c r="C46" s="13" t="s">
        <v>469</v>
      </c>
      <c r="D46" s="231" t="s">
        <v>45</v>
      </c>
      <c r="E46" s="13" t="s">
        <v>462</v>
      </c>
      <c r="F46" s="13" t="s">
        <v>60</v>
      </c>
      <c r="G46" s="13" t="s">
        <v>37</v>
      </c>
      <c r="H46" s="10" t="b">
        <v>0</v>
      </c>
      <c r="I46" s="33">
        <v>7.1897408E9</v>
      </c>
      <c r="J46" s="15" t="s">
        <v>531</v>
      </c>
      <c r="K46" s="16" t="s">
        <v>89</v>
      </c>
      <c r="L46" s="16" t="s">
        <v>77</v>
      </c>
      <c r="M46" s="82"/>
      <c r="N46" s="118"/>
    </row>
    <row r="47">
      <c r="A47" s="206">
        <v>46.0</v>
      </c>
      <c r="B47" s="26" t="s">
        <v>269</v>
      </c>
      <c r="C47" s="24" t="s">
        <v>466</v>
      </c>
      <c r="D47" s="11" t="s">
        <v>45</v>
      </c>
      <c r="E47" s="24" t="s">
        <v>462</v>
      </c>
      <c r="F47" s="24" t="s">
        <v>36</v>
      </c>
      <c r="G47" s="24" t="s">
        <v>37</v>
      </c>
      <c r="H47" s="22" t="b">
        <v>0</v>
      </c>
      <c r="I47" s="25">
        <v>4.152500051E9</v>
      </c>
      <c r="J47" s="26" t="s">
        <v>270</v>
      </c>
      <c r="K47" s="26" t="s">
        <v>266</v>
      </c>
      <c r="L47" s="26" t="s">
        <v>194</v>
      </c>
      <c r="M47" s="86" t="s">
        <v>271</v>
      </c>
      <c r="N47" s="225" t="s">
        <v>272</v>
      </c>
    </row>
    <row r="48">
      <c r="A48" s="204">
        <v>47.0</v>
      </c>
      <c r="B48" s="15" t="s">
        <v>369</v>
      </c>
      <c r="C48" s="13" t="s">
        <v>466</v>
      </c>
      <c r="D48" s="11" t="s">
        <v>45</v>
      </c>
      <c r="E48" s="13" t="s">
        <v>462</v>
      </c>
      <c r="F48" s="13" t="s">
        <v>60</v>
      </c>
      <c r="G48" s="13" t="s">
        <v>37</v>
      </c>
      <c r="H48" s="10" t="b">
        <v>0</v>
      </c>
      <c r="I48" s="14">
        <v>6.178339551E9</v>
      </c>
      <c r="J48" s="15" t="s">
        <v>370</v>
      </c>
      <c r="K48" s="15" t="s">
        <v>371</v>
      </c>
      <c r="L48" s="15" t="s">
        <v>301</v>
      </c>
      <c r="M48" s="16" t="s">
        <v>532</v>
      </c>
      <c r="N48" s="221" t="s">
        <v>373</v>
      </c>
    </row>
    <row r="49">
      <c r="A49" s="206">
        <v>48.0</v>
      </c>
      <c r="B49" s="21" t="s">
        <v>533</v>
      </c>
      <c r="C49" s="24" t="s">
        <v>466</v>
      </c>
      <c r="D49" s="11" t="s">
        <v>502</v>
      </c>
      <c r="E49" s="24" t="s">
        <v>462</v>
      </c>
      <c r="F49" s="24" t="s">
        <v>60</v>
      </c>
      <c r="G49" s="24" t="s">
        <v>53</v>
      </c>
      <c r="H49" s="22" t="b">
        <v>1</v>
      </c>
      <c r="I49" s="25">
        <v>9.72585008086E11</v>
      </c>
      <c r="J49" s="26" t="s">
        <v>274</v>
      </c>
      <c r="K49" s="26" t="s">
        <v>233</v>
      </c>
      <c r="L49" s="26" t="s">
        <v>194</v>
      </c>
      <c r="M49" s="79"/>
      <c r="N49" s="85"/>
    </row>
    <row r="50">
      <c r="A50" s="204">
        <v>49.0</v>
      </c>
      <c r="B50" s="15" t="s">
        <v>534</v>
      </c>
      <c r="C50" s="13" t="s">
        <v>461</v>
      </c>
      <c r="D50" s="217" t="s">
        <v>470</v>
      </c>
      <c r="E50" s="13" t="s">
        <v>462</v>
      </c>
      <c r="F50" s="13" t="s">
        <v>36</v>
      </c>
      <c r="G50" s="13" t="s">
        <v>37</v>
      </c>
      <c r="H50" s="10" t="b">
        <v>0</v>
      </c>
      <c r="I50" s="14">
        <v>6.143780159E9</v>
      </c>
      <c r="J50" s="15" t="s">
        <v>189</v>
      </c>
      <c r="K50" s="15" t="s">
        <v>39</v>
      </c>
      <c r="L50" s="15" t="s">
        <v>40</v>
      </c>
      <c r="M50" s="82"/>
      <c r="N50" s="118"/>
    </row>
    <row r="51">
      <c r="A51" s="206">
        <v>50.0</v>
      </c>
      <c r="B51" s="190" t="s">
        <v>248</v>
      </c>
      <c r="C51" s="24" t="s">
        <v>466</v>
      </c>
      <c r="D51" s="11" t="s">
        <v>502</v>
      </c>
      <c r="E51" s="24" t="s">
        <v>462</v>
      </c>
      <c r="F51" s="24" t="s">
        <v>36</v>
      </c>
      <c r="G51" s="24" t="s">
        <v>37</v>
      </c>
      <c r="H51" s="22" t="b">
        <v>0</v>
      </c>
      <c r="I51" s="25">
        <v>3.102703744E9</v>
      </c>
      <c r="J51" s="26" t="s">
        <v>249</v>
      </c>
      <c r="K51" s="26" t="s">
        <v>250</v>
      </c>
      <c r="L51" s="26" t="s">
        <v>194</v>
      </c>
      <c r="M51" s="66" t="s">
        <v>251</v>
      </c>
      <c r="N51" s="225" t="s">
        <v>535</v>
      </c>
    </row>
    <row r="52">
      <c r="A52" s="204">
        <v>51.0</v>
      </c>
      <c r="B52" s="107" t="s">
        <v>351</v>
      </c>
      <c r="C52" s="140"/>
      <c r="D52" s="140"/>
      <c r="E52" s="232" t="s">
        <v>462</v>
      </c>
      <c r="F52" s="131" t="s">
        <v>60</v>
      </c>
      <c r="G52" s="131" t="s">
        <v>37</v>
      </c>
      <c r="H52" s="132" t="b">
        <v>0</v>
      </c>
      <c r="I52" s="133">
        <v>1.4692237479E10</v>
      </c>
      <c r="J52" s="233" t="s">
        <v>310</v>
      </c>
      <c r="K52" s="107" t="s">
        <v>83</v>
      </c>
      <c r="L52" s="107" t="s">
        <v>84</v>
      </c>
      <c r="M52" s="234" t="s">
        <v>536</v>
      </c>
      <c r="N52" s="235"/>
    </row>
    <row r="53">
      <c r="A53" s="206">
        <v>52.0</v>
      </c>
      <c r="B53" s="26" t="s">
        <v>224</v>
      </c>
      <c r="C53" s="24" t="s">
        <v>537</v>
      </c>
      <c r="D53" s="236" t="s">
        <v>470</v>
      </c>
      <c r="E53" s="24" t="s">
        <v>462</v>
      </c>
      <c r="F53" s="24" t="s">
        <v>60</v>
      </c>
      <c r="G53" s="24" t="s">
        <v>37</v>
      </c>
      <c r="H53" s="22" t="b">
        <v>0</v>
      </c>
      <c r="I53" s="25">
        <v>6.142143954E9</v>
      </c>
      <c r="J53" s="26" t="s">
        <v>225</v>
      </c>
      <c r="K53" s="72"/>
      <c r="L53" s="26" t="s">
        <v>109</v>
      </c>
      <c r="M53" s="86"/>
      <c r="N53" s="225" t="s">
        <v>226</v>
      </c>
    </row>
    <row r="54">
      <c r="A54" s="204">
        <v>53.0</v>
      </c>
      <c r="B54" s="9" t="s">
        <v>323</v>
      </c>
      <c r="C54" s="13" t="s">
        <v>461</v>
      </c>
      <c r="D54" s="205" t="s">
        <v>45</v>
      </c>
      <c r="E54" s="13" t="s">
        <v>462</v>
      </c>
      <c r="F54" s="13" t="s">
        <v>60</v>
      </c>
      <c r="G54" s="13" t="s">
        <v>37</v>
      </c>
      <c r="H54" s="10" t="b">
        <v>0</v>
      </c>
      <c r="I54" s="14">
        <v>3.105954269E9</v>
      </c>
      <c r="J54" s="15" t="s">
        <v>324</v>
      </c>
      <c r="K54" s="15" t="s">
        <v>250</v>
      </c>
      <c r="L54" s="15" t="s">
        <v>194</v>
      </c>
      <c r="M54" s="89" t="s">
        <v>325</v>
      </c>
      <c r="N54" s="103" t="s">
        <v>538</v>
      </c>
    </row>
    <row r="55">
      <c r="A55" s="206">
        <v>54.0</v>
      </c>
      <c r="B55" s="26" t="s">
        <v>298</v>
      </c>
      <c r="C55" s="24" t="s">
        <v>537</v>
      </c>
      <c r="D55" s="11" t="s">
        <v>539</v>
      </c>
      <c r="E55" s="24" t="s">
        <v>462</v>
      </c>
      <c r="F55" s="24" t="s">
        <v>36</v>
      </c>
      <c r="G55" s="24" t="s">
        <v>37</v>
      </c>
      <c r="H55" s="22" t="b">
        <v>0</v>
      </c>
      <c r="I55" s="25">
        <v>6.175133365E9</v>
      </c>
      <c r="J55" s="26" t="s">
        <v>299</v>
      </c>
      <c r="K55" s="26" t="s">
        <v>300</v>
      </c>
      <c r="L55" s="26" t="s">
        <v>301</v>
      </c>
      <c r="M55" s="86" t="s">
        <v>464</v>
      </c>
      <c r="N55" s="225" t="s">
        <v>540</v>
      </c>
    </row>
    <row r="56">
      <c r="A56" s="204">
        <v>55.0</v>
      </c>
      <c r="B56" s="237" t="s">
        <v>541</v>
      </c>
      <c r="C56" s="12"/>
      <c r="D56" s="238"/>
      <c r="E56" s="13" t="s">
        <v>462</v>
      </c>
      <c r="F56" s="13" t="s">
        <v>36</v>
      </c>
      <c r="G56" s="13" t="s">
        <v>53</v>
      </c>
      <c r="H56" s="10" t="b">
        <v>1</v>
      </c>
      <c r="I56" s="14">
        <v>1.5619010076E10</v>
      </c>
      <c r="J56" s="15" t="s">
        <v>288</v>
      </c>
      <c r="K56" s="15" t="s">
        <v>289</v>
      </c>
      <c r="L56" s="15" t="s">
        <v>40</v>
      </c>
      <c r="M56" s="82"/>
      <c r="N56" s="118"/>
    </row>
    <row r="57">
      <c r="A57" s="206">
        <v>56.0</v>
      </c>
      <c r="B57" s="86" t="s">
        <v>399</v>
      </c>
      <c r="C57" s="24" t="s">
        <v>466</v>
      </c>
      <c r="D57" s="239" t="s">
        <v>45</v>
      </c>
      <c r="E57" s="24" t="s">
        <v>462</v>
      </c>
      <c r="F57" s="24" t="s">
        <v>60</v>
      </c>
      <c r="G57" s="24" t="s">
        <v>37</v>
      </c>
      <c r="H57" s="22" t="b">
        <v>0</v>
      </c>
      <c r="I57" s="94">
        <v>9.139614427E9</v>
      </c>
      <c r="J57" s="26" t="s">
        <v>400</v>
      </c>
      <c r="K57" s="86" t="s">
        <v>401</v>
      </c>
      <c r="L57" s="86" t="s">
        <v>402</v>
      </c>
      <c r="M57" s="71" t="s">
        <v>403</v>
      </c>
      <c r="N57" s="216" t="s">
        <v>404</v>
      </c>
    </row>
    <row r="58">
      <c r="A58" s="204">
        <v>57.0</v>
      </c>
      <c r="B58" s="90" t="s">
        <v>284</v>
      </c>
      <c r="C58" s="13" t="s">
        <v>466</v>
      </c>
      <c r="D58" s="230" t="s">
        <v>502</v>
      </c>
      <c r="E58" s="13" t="s">
        <v>462</v>
      </c>
      <c r="F58" s="13" t="s">
        <v>36</v>
      </c>
      <c r="G58" s="13" t="s">
        <v>37</v>
      </c>
      <c r="H58" s="10" t="b">
        <v>0</v>
      </c>
      <c r="I58" s="33">
        <v>9.173458238E9</v>
      </c>
      <c r="J58" s="15" t="s">
        <v>285</v>
      </c>
      <c r="K58" s="16" t="s">
        <v>286</v>
      </c>
      <c r="L58" s="16" t="s">
        <v>40</v>
      </c>
      <c r="M58" s="82"/>
      <c r="N58" s="118"/>
    </row>
    <row r="59">
      <c r="A59" s="206">
        <v>58.0</v>
      </c>
      <c r="B59" s="26" t="s">
        <v>264</v>
      </c>
      <c r="C59" s="24" t="s">
        <v>466</v>
      </c>
      <c r="D59" s="218" t="s">
        <v>45</v>
      </c>
      <c r="E59" s="24" t="s">
        <v>462</v>
      </c>
      <c r="F59" s="24" t="s">
        <v>60</v>
      </c>
      <c r="G59" s="24" t="s">
        <v>37</v>
      </c>
      <c r="H59" s="22" t="b">
        <v>0</v>
      </c>
      <c r="I59" s="25">
        <v>4.153023361E9</v>
      </c>
      <c r="J59" s="26" t="s">
        <v>265</v>
      </c>
      <c r="K59" s="26" t="s">
        <v>266</v>
      </c>
      <c r="L59" s="26" t="s">
        <v>194</v>
      </c>
      <c r="M59" s="86" t="s">
        <v>267</v>
      </c>
      <c r="N59" s="225" t="s">
        <v>268</v>
      </c>
    </row>
    <row r="60">
      <c r="A60" s="204">
        <v>59.0</v>
      </c>
      <c r="B60" s="15" t="s">
        <v>542</v>
      </c>
      <c r="C60" s="12"/>
      <c r="D60" s="140"/>
      <c r="E60" s="13" t="s">
        <v>462</v>
      </c>
      <c r="F60" s="13" t="s">
        <v>36</v>
      </c>
      <c r="G60" s="13" t="s">
        <v>53</v>
      </c>
      <c r="H60" s="10" t="b">
        <v>1</v>
      </c>
      <c r="I60" s="14">
        <v>1.9545598595E10</v>
      </c>
      <c r="J60" s="15" t="s">
        <v>543</v>
      </c>
      <c r="K60" s="15" t="s">
        <v>544</v>
      </c>
      <c r="L60" s="15" t="s">
        <v>40</v>
      </c>
      <c r="M60" s="82"/>
      <c r="N60" s="118"/>
    </row>
    <row r="61">
      <c r="A61" s="206">
        <v>60.0</v>
      </c>
      <c r="B61" s="227" t="s">
        <v>394</v>
      </c>
      <c r="C61" s="24" t="s">
        <v>466</v>
      </c>
      <c r="D61" s="220" t="s">
        <v>45</v>
      </c>
      <c r="E61" s="24" t="s">
        <v>462</v>
      </c>
      <c r="F61" s="24" t="s">
        <v>60</v>
      </c>
      <c r="G61" s="24" t="s">
        <v>37</v>
      </c>
      <c r="H61" s="22" t="b">
        <v>0</v>
      </c>
      <c r="I61" s="94">
        <v>3.053315337E9</v>
      </c>
      <c r="J61" s="26" t="s">
        <v>395</v>
      </c>
      <c r="K61" s="26" t="s">
        <v>213</v>
      </c>
      <c r="L61" s="26" t="s">
        <v>40</v>
      </c>
      <c r="M61" s="79"/>
      <c r="N61" s="216" t="s">
        <v>396</v>
      </c>
    </row>
    <row r="62">
      <c r="A62" s="204">
        <v>61.0</v>
      </c>
      <c r="B62" s="16" t="s">
        <v>334</v>
      </c>
      <c r="C62" s="13" t="s">
        <v>466</v>
      </c>
      <c r="D62" s="210" t="s">
        <v>45</v>
      </c>
      <c r="E62" s="13" t="s">
        <v>462</v>
      </c>
      <c r="F62" s="13" t="s">
        <v>36</v>
      </c>
      <c r="G62" s="13" t="s">
        <v>37</v>
      </c>
      <c r="H62" s="10" t="b">
        <v>0</v>
      </c>
      <c r="I62" s="33">
        <v>7.733989585E9</v>
      </c>
      <c r="J62" s="15" t="s">
        <v>335</v>
      </c>
      <c r="K62" s="16" t="s">
        <v>313</v>
      </c>
      <c r="L62" s="16" t="s">
        <v>314</v>
      </c>
      <c r="M62" s="34" t="s">
        <v>336</v>
      </c>
      <c r="N62" s="95" t="s">
        <v>337</v>
      </c>
    </row>
    <row r="63">
      <c r="A63" s="206">
        <v>62.0</v>
      </c>
      <c r="B63" s="86" t="s">
        <v>355</v>
      </c>
      <c r="C63" s="24" t="s">
        <v>466</v>
      </c>
      <c r="D63" s="217" t="s">
        <v>502</v>
      </c>
      <c r="E63" s="24" t="s">
        <v>462</v>
      </c>
      <c r="F63" s="24" t="s">
        <v>36</v>
      </c>
      <c r="G63" s="24" t="s">
        <v>37</v>
      </c>
      <c r="H63" s="22" t="b">
        <v>0</v>
      </c>
      <c r="I63" s="94">
        <v>3.12890769E9</v>
      </c>
      <c r="J63" s="26" t="s">
        <v>356</v>
      </c>
      <c r="K63" s="86" t="s">
        <v>213</v>
      </c>
      <c r="L63" s="86" t="s">
        <v>40</v>
      </c>
      <c r="M63" s="79"/>
      <c r="N63" s="85"/>
    </row>
    <row r="64">
      <c r="A64" s="204">
        <v>63.0</v>
      </c>
      <c r="B64" s="15" t="s">
        <v>545</v>
      </c>
      <c r="C64" s="12"/>
      <c r="D64" s="12"/>
      <c r="E64" s="13" t="s">
        <v>462</v>
      </c>
      <c r="F64" s="13" t="s">
        <v>36</v>
      </c>
      <c r="G64" s="13" t="s">
        <v>53</v>
      </c>
      <c r="H64" s="10" t="b">
        <v>1</v>
      </c>
      <c r="I64" s="14">
        <v>1.6178170894E10</v>
      </c>
      <c r="J64" s="15" t="s">
        <v>411</v>
      </c>
      <c r="K64" s="15" t="s">
        <v>412</v>
      </c>
      <c r="L64" s="15" t="s">
        <v>301</v>
      </c>
      <c r="M64" s="82"/>
      <c r="N64" s="118"/>
    </row>
    <row r="65">
      <c r="A65" s="206">
        <v>64.0</v>
      </c>
      <c r="B65" s="21" t="s">
        <v>405</v>
      </c>
      <c r="C65" s="24" t="s">
        <v>466</v>
      </c>
      <c r="D65" s="220" t="s">
        <v>45</v>
      </c>
      <c r="E65" s="24" t="s">
        <v>462</v>
      </c>
      <c r="F65" s="24" t="s">
        <v>60</v>
      </c>
      <c r="G65" s="24" t="s">
        <v>37</v>
      </c>
      <c r="H65" s="22" t="b">
        <v>0</v>
      </c>
      <c r="I65" s="25">
        <v>8.478775542E9</v>
      </c>
      <c r="J65" s="26" t="s">
        <v>406</v>
      </c>
      <c r="K65" s="26" t="s">
        <v>407</v>
      </c>
      <c r="L65" s="26" t="s">
        <v>314</v>
      </c>
      <c r="M65" s="71" t="s">
        <v>408</v>
      </c>
      <c r="N65" s="216" t="s">
        <v>546</v>
      </c>
    </row>
    <row r="66">
      <c r="A66" s="204">
        <v>65.0</v>
      </c>
      <c r="B66" s="128" t="s">
        <v>142</v>
      </c>
      <c r="C66" s="13" t="s">
        <v>466</v>
      </c>
      <c r="D66" s="217" t="s">
        <v>45</v>
      </c>
      <c r="E66" s="13" t="s">
        <v>462</v>
      </c>
      <c r="F66" s="13" t="s">
        <v>60</v>
      </c>
      <c r="G66" s="13" t="s">
        <v>37</v>
      </c>
      <c r="H66" s="10" t="b">
        <v>0</v>
      </c>
      <c r="I66" s="14">
        <v>2.142230055E9</v>
      </c>
      <c r="J66" s="15" t="s">
        <v>145</v>
      </c>
      <c r="K66" s="15" t="s">
        <v>62</v>
      </c>
      <c r="L66" s="15" t="s">
        <v>63</v>
      </c>
      <c r="M66" s="34" t="s">
        <v>146</v>
      </c>
      <c r="N66" s="95" t="s">
        <v>547</v>
      </c>
    </row>
    <row r="67">
      <c r="A67" s="206">
        <v>66.0</v>
      </c>
      <c r="B67" s="26" t="s">
        <v>341</v>
      </c>
      <c r="C67" s="24" t="s">
        <v>466</v>
      </c>
      <c r="D67" s="217" t="s">
        <v>45</v>
      </c>
      <c r="E67" s="24" t="s">
        <v>462</v>
      </c>
      <c r="F67" s="24" t="s">
        <v>60</v>
      </c>
      <c r="G67" s="24" t="s">
        <v>37</v>
      </c>
      <c r="H67" s="22" t="b">
        <v>0</v>
      </c>
      <c r="I67" s="25">
        <v>8.18321301E9</v>
      </c>
      <c r="J67" s="26" t="s">
        <v>342</v>
      </c>
      <c r="K67" s="26"/>
      <c r="L67" s="26"/>
      <c r="M67" s="28" t="s">
        <v>344</v>
      </c>
      <c r="N67" s="208" t="s">
        <v>345</v>
      </c>
    </row>
    <row r="68">
      <c r="A68" s="204">
        <v>67.0</v>
      </c>
      <c r="B68" s="15" t="s">
        <v>548</v>
      </c>
      <c r="C68" s="12"/>
      <c r="D68" s="12"/>
      <c r="E68" s="13" t="s">
        <v>462</v>
      </c>
      <c r="F68" s="13" t="s">
        <v>36</v>
      </c>
      <c r="G68" s="13" t="s">
        <v>53</v>
      </c>
      <c r="H68" s="10" t="b">
        <v>1</v>
      </c>
      <c r="I68" s="14">
        <v>1.4156010152E10</v>
      </c>
      <c r="J68" s="15" t="s">
        <v>353</v>
      </c>
      <c r="K68" s="15" t="s">
        <v>354</v>
      </c>
      <c r="L68" s="15" t="s">
        <v>301</v>
      </c>
      <c r="M68" s="82"/>
      <c r="N68" s="118"/>
    </row>
    <row r="69">
      <c r="A69" s="206">
        <v>68.0</v>
      </c>
      <c r="B69" s="26" t="s">
        <v>549</v>
      </c>
      <c r="C69" s="24" t="s">
        <v>466</v>
      </c>
      <c r="D69" s="220" t="s">
        <v>502</v>
      </c>
      <c r="E69" s="24" t="s">
        <v>462</v>
      </c>
      <c r="F69" s="24" t="s">
        <v>60</v>
      </c>
      <c r="G69" s="24" t="s">
        <v>37</v>
      </c>
      <c r="H69" s="22" t="b">
        <v>0</v>
      </c>
      <c r="I69" s="25">
        <v>6.143780159E9</v>
      </c>
      <c r="J69" s="26" t="s">
        <v>189</v>
      </c>
      <c r="K69" s="26" t="s">
        <v>39</v>
      </c>
      <c r="L69" s="26" t="s">
        <v>40</v>
      </c>
      <c r="M69" s="79"/>
      <c r="N69" s="85"/>
    </row>
    <row r="70">
      <c r="A70" s="204">
        <v>69.0</v>
      </c>
      <c r="B70" s="15" t="s">
        <v>311</v>
      </c>
      <c r="C70" s="13" t="s">
        <v>466</v>
      </c>
      <c r="D70" s="240" t="s">
        <v>502</v>
      </c>
      <c r="E70" s="13" t="s">
        <v>462</v>
      </c>
      <c r="F70" s="13" t="s">
        <v>36</v>
      </c>
      <c r="G70" s="13" t="s">
        <v>37</v>
      </c>
      <c r="H70" s="10" t="b">
        <v>0</v>
      </c>
      <c r="I70" s="14">
        <v>7.735122029E9</v>
      </c>
      <c r="J70" s="15" t="s">
        <v>312</v>
      </c>
      <c r="K70" s="15" t="s">
        <v>313</v>
      </c>
      <c r="L70" s="15" t="s">
        <v>314</v>
      </c>
      <c r="M70" s="16" t="s">
        <v>315</v>
      </c>
      <c r="N70" s="103" t="s">
        <v>316</v>
      </c>
    </row>
    <row r="71">
      <c r="A71" s="206">
        <v>70.0</v>
      </c>
      <c r="B71" s="190" t="s">
        <v>550</v>
      </c>
      <c r="C71" s="24" t="s">
        <v>466</v>
      </c>
      <c r="D71" s="11" t="s">
        <v>45</v>
      </c>
      <c r="E71" s="24" t="s">
        <v>462</v>
      </c>
      <c r="F71" s="24" t="s">
        <v>60</v>
      </c>
      <c r="G71" s="24" t="s">
        <v>37</v>
      </c>
      <c r="H71" s="22" t="b">
        <v>0</v>
      </c>
      <c r="I71" s="25">
        <v>4.693284471E9</v>
      </c>
      <c r="J71" s="26" t="s">
        <v>551</v>
      </c>
      <c r="K71" s="26" t="s">
        <v>552</v>
      </c>
      <c r="L71" s="26" t="s">
        <v>40</v>
      </c>
      <c r="M71" s="241" t="s">
        <v>553</v>
      </c>
      <c r="N71" s="242" t="s">
        <v>554</v>
      </c>
    </row>
    <row r="72">
      <c r="A72" s="204">
        <v>71.0</v>
      </c>
      <c r="B72" s="15" t="s">
        <v>555</v>
      </c>
      <c r="C72" s="12"/>
      <c r="D72" s="12"/>
      <c r="E72" s="13" t="s">
        <v>462</v>
      </c>
      <c r="F72" s="13" t="s">
        <v>60</v>
      </c>
      <c r="G72" s="13" t="s">
        <v>53</v>
      </c>
      <c r="H72" s="10" t="b">
        <v>1</v>
      </c>
      <c r="I72" s="14">
        <v>1.6178330946E10</v>
      </c>
      <c r="J72" s="15" t="s">
        <v>556</v>
      </c>
      <c r="K72" s="15" t="s">
        <v>557</v>
      </c>
      <c r="L72" s="15" t="s">
        <v>40</v>
      </c>
      <c r="M72" s="82"/>
      <c r="N72" s="118"/>
    </row>
    <row r="73">
      <c r="A73" s="206">
        <v>72.0</v>
      </c>
      <c r="B73" s="86" t="s">
        <v>295</v>
      </c>
      <c r="C73" s="24" t="s">
        <v>466</v>
      </c>
      <c r="D73" s="220" t="s">
        <v>45</v>
      </c>
      <c r="E73" s="24" t="s">
        <v>462</v>
      </c>
      <c r="F73" s="24" t="s">
        <v>36</v>
      </c>
      <c r="G73" s="24" t="s">
        <v>37</v>
      </c>
      <c r="H73" s="22" t="b">
        <v>0</v>
      </c>
      <c r="I73" s="25">
        <v>3.057945501E9</v>
      </c>
      <c r="J73" s="86" t="s">
        <v>296</v>
      </c>
      <c r="K73" s="86" t="s">
        <v>190</v>
      </c>
      <c r="L73" s="28" t="s">
        <v>40</v>
      </c>
      <c r="M73" s="79"/>
      <c r="N73" s="216" t="s">
        <v>297</v>
      </c>
    </row>
    <row r="74">
      <c r="A74" s="204">
        <v>73.0</v>
      </c>
      <c r="B74" s="15" t="s">
        <v>280</v>
      </c>
      <c r="C74" s="13" t="s">
        <v>466</v>
      </c>
      <c r="D74" s="217" t="s">
        <v>558</v>
      </c>
      <c r="E74" s="13" t="s">
        <v>462</v>
      </c>
      <c r="F74" s="13" t="s">
        <v>60</v>
      </c>
      <c r="G74" s="13" t="s">
        <v>37</v>
      </c>
      <c r="H74" s="10" t="b">
        <v>0</v>
      </c>
      <c r="I74" s="14">
        <v>2.164967816E9</v>
      </c>
      <c r="J74" s="15" t="s">
        <v>281</v>
      </c>
      <c r="K74" s="15" t="s">
        <v>238</v>
      </c>
      <c r="L74" s="15" t="s">
        <v>109</v>
      </c>
      <c r="M74" s="16" t="s">
        <v>282</v>
      </c>
      <c r="N74" s="103" t="s">
        <v>283</v>
      </c>
    </row>
    <row r="75">
      <c r="A75" s="206">
        <v>74.0</v>
      </c>
      <c r="B75" s="26" t="s">
        <v>320</v>
      </c>
      <c r="C75" s="24" t="s">
        <v>559</v>
      </c>
      <c r="D75" s="243"/>
      <c r="E75" s="24" t="s">
        <v>462</v>
      </c>
      <c r="F75" s="24" t="s">
        <v>36</v>
      </c>
      <c r="G75" s="24" t="s">
        <v>37</v>
      </c>
      <c r="H75" s="22" t="b">
        <v>0</v>
      </c>
      <c r="I75" s="25">
        <v>1.8454997713E10</v>
      </c>
      <c r="J75" s="26" t="s">
        <v>321</v>
      </c>
      <c r="K75" s="26" t="s">
        <v>322</v>
      </c>
      <c r="L75" s="26" t="s">
        <v>77</v>
      </c>
      <c r="M75" s="79"/>
      <c r="N75" s="85"/>
    </row>
    <row r="76">
      <c r="A76" s="204">
        <v>75.0</v>
      </c>
      <c r="B76" s="153" t="s">
        <v>560</v>
      </c>
      <c r="C76" s="12"/>
      <c r="D76" s="12"/>
      <c r="E76" s="13" t="s">
        <v>462</v>
      </c>
      <c r="F76" s="13" t="s">
        <v>60</v>
      </c>
      <c r="G76" s="13" t="s">
        <v>53</v>
      </c>
      <c r="H76" s="10" t="b">
        <v>1</v>
      </c>
      <c r="I76" s="14">
        <v>1.8324827718E10</v>
      </c>
      <c r="J76" s="15" t="s">
        <v>365</v>
      </c>
      <c r="K76" s="15" t="s">
        <v>340</v>
      </c>
      <c r="L76" s="15" t="s">
        <v>40</v>
      </c>
      <c r="M76" s="82"/>
      <c r="N76" s="118"/>
    </row>
    <row r="77">
      <c r="A77" s="206">
        <v>76.0</v>
      </c>
      <c r="B77" s="21" t="s">
        <v>231</v>
      </c>
      <c r="C77" s="24" t="s">
        <v>466</v>
      </c>
      <c r="D77" s="220" t="s">
        <v>558</v>
      </c>
      <c r="E77" s="24" t="s">
        <v>414</v>
      </c>
      <c r="F77" s="24" t="s">
        <v>60</v>
      </c>
      <c r="G77" s="24" t="s">
        <v>37</v>
      </c>
      <c r="H77" s="22" t="b">
        <v>0</v>
      </c>
      <c r="I77" s="25">
        <v>3.104979762E9</v>
      </c>
      <c r="J77" s="26" t="s">
        <v>232</v>
      </c>
      <c r="K77" s="26" t="s">
        <v>233</v>
      </c>
      <c r="L77" s="26" t="s">
        <v>194</v>
      </c>
      <c r="M77" s="244" t="s">
        <v>234</v>
      </c>
      <c r="N77" s="245" t="s">
        <v>235</v>
      </c>
    </row>
    <row r="78">
      <c r="A78" s="204">
        <v>77.0</v>
      </c>
      <c r="B78" s="15" t="s">
        <v>561</v>
      </c>
      <c r="C78" s="12"/>
      <c r="D78" s="238"/>
      <c r="E78" s="13" t="s">
        <v>414</v>
      </c>
      <c r="F78" s="13" t="s">
        <v>36</v>
      </c>
      <c r="G78" s="13" t="s">
        <v>37</v>
      </c>
      <c r="H78" s="10" t="b">
        <v>0</v>
      </c>
      <c r="I78" s="14">
        <v>1.7868972639E10</v>
      </c>
      <c r="J78" s="15" t="s">
        <v>562</v>
      </c>
      <c r="K78" s="15" t="s">
        <v>340</v>
      </c>
      <c r="L78" s="15" t="s">
        <v>40</v>
      </c>
      <c r="M78" s="82"/>
      <c r="N78" s="118"/>
    </row>
    <row r="79">
      <c r="A79" s="206">
        <v>78.0</v>
      </c>
      <c r="B79" s="26" t="s">
        <v>111</v>
      </c>
      <c r="C79" s="24" t="s">
        <v>472</v>
      </c>
      <c r="D79" s="207" t="s">
        <v>45</v>
      </c>
      <c r="E79" s="24" t="s">
        <v>414</v>
      </c>
      <c r="F79" s="24" t="s">
        <v>60</v>
      </c>
      <c r="G79" s="24" t="s">
        <v>37</v>
      </c>
      <c r="H79" s="22" t="b">
        <v>0</v>
      </c>
      <c r="I79" s="25">
        <v>6.464180875E9</v>
      </c>
      <c r="J79" s="26" t="s">
        <v>112</v>
      </c>
      <c r="K79" s="26" t="s">
        <v>76</v>
      </c>
      <c r="L79" s="26" t="s">
        <v>77</v>
      </c>
      <c r="M79" s="79"/>
      <c r="N79" s="85"/>
    </row>
    <row r="80">
      <c r="A80" s="204">
        <v>79.0</v>
      </c>
      <c r="B80" s="15" t="s">
        <v>381</v>
      </c>
      <c r="C80" s="12"/>
      <c r="D80" s="246"/>
      <c r="E80" s="13" t="s">
        <v>414</v>
      </c>
      <c r="F80" s="13" t="s">
        <v>36</v>
      </c>
      <c r="G80" s="13" t="s">
        <v>37</v>
      </c>
      <c r="H80" s="10" t="b">
        <v>0</v>
      </c>
      <c r="I80" s="14">
        <v>1.5104076728E10</v>
      </c>
      <c r="J80" s="15" t="s">
        <v>563</v>
      </c>
      <c r="K80" s="15" t="s">
        <v>382</v>
      </c>
      <c r="L80" s="15" t="s">
        <v>194</v>
      </c>
      <c r="M80" s="82"/>
      <c r="N80" s="118"/>
    </row>
    <row r="81">
      <c r="A81" s="206">
        <v>80.0</v>
      </c>
      <c r="B81" s="190" t="s">
        <v>346</v>
      </c>
      <c r="C81" s="24" t="s">
        <v>472</v>
      </c>
      <c r="D81" s="247" t="s">
        <v>502</v>
      </c>
      <c r="E81" s="24" t="s">
        <v>414</v>
      </c>
      <c r="F81" s="24" t="s">
        <v>60</v>
      </c>
      <c r="G81" s="24" t="s">
        <v>37</v>
      </c>
      <c r="H81" s="22" t="b">
        <v>0</v>
      </c>
      <c r="I81" s="25">
        <v>9.172703166E9</v>
      </c>
      <c r="J81" s="26" t="s">
        <v>347</v>
      </c>
      <c r="K81" s="26" t="s">
        <v>76</v>
      </c>
      <c r="L81" s="26" t="s">
        <v>77</v>
      </c>
      <c r="M81" s="79"/>
      <c r="N81" s="85"/>
    </row>
    <row r="82">
      <c r="A82" s="204">
        <v>81.0</v>
      </c>
      <c r="B82" s="15" t="s">
        <v>564</v>
      </c>
      <c r="C82" s="12"/>
      <c r="D82" s="12"/>
      <c r="E82" s="13" t="s">
        <v>414</v>
      </c>
      <c r="F82" s="13" t="s">
        <v>60</v>
      </c>
      <c r="G82" s="13" t="s">
        <v>53</v>
      </c>
      <c r="H82" s="10" t="b">
        <v>1</v>
      </c>
      <c r="I82" s="14">
        <v>1.2062951441E10</v>
      </c>
      <c r="J82" s="15" t="s">
        <v>565</v>
      </c>
      <c r="K82" s="15" t="s">
        <v>197</v>
      </c>
      <c r="L82" s="15" t="s">
        <v>198</v>
      </c>
      <c r="M82" s="82"/>
      <c r="N82" s="118"/>
    </row>
    <row r="83">
      <c r="A83" s="206">
        <v>82.0</v>
      </c>
      <c r="B83" s="21" t="s">
        <v>566</v>
      </c>
      <c r="C83" s="24" t="s">
        <v>472</v>
      </c>
      <c r="D83" s="248" t="s">
        <v>502</v>
      </c>
      <c r="E83" s="24" t="s">
        <v>414</v>
      </c>
      <c r="F83" s="24" t="s">
        <v>60</v>
      </c>
      <c r="G83" s="24" t="s">
        <v>37</v>
      </c>
      <c r="H83" s="22" t="b">
        <v>0</v>
      </c>
      <c r="I83" s="25">
        <v>4.046645436E9</v>
      </c>
      <c r="J83" s="26" t="s">
        <v>567</v>
      </c>
      <c r="K83" s="26" t="s">
        <v>568</v>
      </c>
      <c r="L83" s="26" t="s">
        <v>124</v>
      </c>
      <c r="M83" s="79"/>
      <c r="N83" s="85"/>
    </row>
    <row r="84">
      <c r="A84" s="204">
        <v>83.0</v>
      </c>
      <c r="B84" s="15" t="s">
        <v>366</v>
      </c>
      <c r="C84" s="12"/>
      <c r="D84" s="243"/>
      <c r="E84" s="13" t="s">
        <v>414</v>
      </c>
      <c r="F84" s="13" t="s">
        <v>36</v>
      </c>
      <c r="G84" s="13" t="s">
        <v>37</v>
      </c>
      <c r="H84" s="10" t="b">
        <v>0</v>
      </c>
      <c r="I84" s="14">
        <v>1.4439292809E10</v>
      </c>
      <c r="J84" s="15" t="s">
        <v>367</v>
      </c>
      <c r="K84" s="15" t="s">
        <v>368</v>
      </c>
      <c r="L84" s="15" t="s">
        <v>105</v>
      </c>
      <c r="M84" s="82"/>
      <c r="N84" s="118"/>
    </row>
    <row r="85">
      <c r="A85" s="206">
        <v>84.0</v>
      </c>
      <c r="B85" s="26" t="s">
        <v>453</v>
      </c>
      <c r="C85" s="23"/>
      <c r="D85" s="238"/>
      <c r="E85" s="24" t="s">
        <v>414</v>
      </c>
      <c r="F85" s="24" t="s">
        <v>36</v>
      </c>
      <c r="G85" s="24" t="s">
        <v>37</v>
      </c>
      <c r="H85" s="22" t="b">
        <v>0</v>
      </c>
      <c r="I85" s="25">
        <v>1.3104880959E10</v>
      </c>
      <c r="J85" s="26" t="s">
        <v>569</v>
      </c>
      <c r="K85" s="26" t="s">
        <v>233</v>
      </c>
      <c r="L85" s="26" t="s">
        <v>194</v>
      </c>
      <c r="M85" s="79"/>
      <c r="N85" s="85"/>
    </row>
    <row r="86">
      <c r="A86" s="204">
        <v>85.0</v>
      </c>
      <c r="B86" s="153" t="s">
        <v>570</v>
      </c>
      <c r="C86" s="12"/>
      <c r="D86" s="12"/>
      <c r="E86" s="13" t="s">
        <v>414</v>
      </c>
      <c r="F86" s="13" t="s">
        <v>60</v>
      </c>
      <c r="G86" s="13" t="s">
        <v>53</v>
      </c>
      <c r="H86" s="10" t="b">
        <v>1</v>
      </c>
      <c r="I86" s="14">
        <v>1.8456429346E10</v>
      </c>
      <c r="J86" s="15" t="s">
        <v>571</v>
      </c>
      <c r="K86" s="15" t="s">
        <v>572</v>
      </c>
      <c r="L86" s="15" t="s">
        <v>77</v>
      </c>
      <c r="M86" s="82"/>
      <c r="N86" s="118"/>
    </row>
    <row r="87">
      <c r="A87" s="206">
        <v>86.0</v>
      </c>
      <c r="B87" s="26" t="s">
        <v>518</v>
      </c>
      <c r="C87" s="23"/>
      <c r="D87" s="243"/>
      <c r="E87" s="24" t="s">
        <v>414</v>
      </c>
      <c r="F87" s="24" t="s">
        <v>60</v>
      </c>
      <c r="G87" s="24" t="s">
        <v>37</v>
      </c>
      <c r="H87" s="22" t="b">
        <v>0</v>
      </c>
      <c r="I87" s="25">
        <v>1.3109805189E10</v>
      </c>
      <c r="J87" s="26" t="s">
        <v>254</v>
      </c>
      <c r="K87" s="26" t="s">
        <v>193</v>
      </c>
      <c r="L87" s="26" t="s">
        <v>194</v>
      </c>
      <c r="M87" s="79"/>
      <c r="N87" s="85"/>
    </row>
    <row r="88">
      <c r="A88" s="204">
        <v>87.0</v>
      </c>
      <c r="B88" s="15" t="s">
        <v>573</v>
      </c>
      <c r="C88" s="12"/>
      <c r="D88" s="12"/>
      <c r="E88" s="13" t="s">
        <v>414</v>
      </c>
      <c r="F88" s="13" t="s">
        <v>60</v>
      </c>
      <c r="G88" s="249"/>
      <c r="H88" s="10" t="b">
        <v>0</v>
      </c>
      <c r="I88" s="14">
        <v>1.847400636E10</v>
      </c>
      <c r="J88" s="15" t="s">
        <v>574</v>
      </c>
      <c r="K88" s="15" t="s">
        <v>575</v>
      </c>
      <c r="L88" s="15" t="s">
        <v>314</v>
      </c>
      <c r="M88" s="82"/>
      <c r="N88" s="118"/>
    </row>
    <row r="89">
      <c r="A89" s="206">
        <v>88.0</v>
      </c>
      <c r="B89" s="26" t="s">
        <v>576</v>
      </c>
      <c r="C89" s="23"/>
      <c r="D89" s="243"/>
      <c r="E89" s="24" t="s">
        <v>414</v>
      </c>
      <c r="F89" s="24" t="s">
        <v>36</v>
      </c>
      <c r="G89" s="250"/>
      <c r="H89" s="22" t="b">
        <v>0</v>
      </c>
      <c r="I89" s="25">
        <v>1.7818880036E10</v>
      </c>
      <c r="J89" s="26" t="s">
        <v>577</v>
      </c>
      <c r="K89" s="26" t="s">
        <v>578</v>
      </c>
      <c r="L89" s="26" t="s">
        <v>301</v>
      </c>
      <c r="M89" s="79"/>
      <c r="N89" s="85"/>
    </row>
    <row r="90">
      <c r="A90" s="204">
        <v>89.0</v>
      </c>
      <c r="B90" s="15" t="s">
        <v>579</v>
      </c>
      <c r="C90" s="12"/>
      <c r="D90" s="12"/>
      <c r="E90" s="13" t="s">
        <v>414</v>
      </c>
      <c r="F90" s="13" t="s">
        <v>60</v>
      </c>
      <c r="G90" s="249"/>
      <c r="H90" s="10" t="b">
        <v>0</v>
      </c>
      <c r="I90" s="14">
        <v>1.201838264E10</v>
      </c>
      <c r="J90" s="15" t="s">
        <v>580</v>
      </c>
      <c r="K90" s="15" t="s">
        <v>581</v>
      </c>
      <c r="L90" s="15" t="s">
        <v>40</v>
      </c>
      <c r="M90" s="82"/>
      <c r="N90" s="118"/>
    </row>
    <row r="91">
      <c r="A91" s="206">
        <v>90.0</v>
      </c>
      <c r="B91" s="130" t="s">
        <v>582</v>
      </c>
      <c r="C91" s="23"/>
      <c r="D91" s="251"/>
      <c r="E91" s="24" t="s">
        <v>414</v>
      </c>
      <c r="F91" s="24" t="s">
        <v>36</v>
      </c>
      <c r="G91" s="250"/>
      <c r="H91" s="22" t="b">
        <v>0</v>
      </c>
      <c r="I91" s="25">
        <v>1.8057057137E10</v>
      </c>
      <c r="J91" s="26" t="s">
        <v>583</v>
      </c>
      <c r="K91" s="26" t="s">
        <v>250</v>
      </c>
      <c r="L91" s="26" t="s">
        <v>194</v>
      </c>
      <c r="M91" s="79"/>
      <c r="N91" s="85"/>
    </row>
    <row r="92">
      <c r="A92" s="204">
        <v>91.0</v>
      </c>
      <c r="B92" s="15" t="s">
        <v>584</v>
      </c>
      <c r="C92" s="12"/>
      <c r="D92" s="12"/>
      <c r="E92" s="13" t="s">
        <v>414</v>
      </c>
      <c r="F92" s="13" t="s">
        <v>36</v>
      </c>
      <c r="G92" s="249"/>
      <c r="H92" s="10" t="b">
        <v>0</v>
      </c>
      <c r="I92" s="14">
        <v>1.7732555169E10</v>
      </c>
      <c r="J92" s="15" t="s">
        <v>585</v>
      </c>
      <c r="K92" s="15" t="s">
        <v>552</v>
      </c>
      <c r="L92" s="15" t="s">
        <v>40</v>
      </c>
      <c r="M92" s="82"/>
      <c r="N92" s="118"/>
    </row>
    <row r="93">
      <c r="A93" s="206">
        <v>92.0</v>
      </c>
      <c r="B93" s="26" t="s">
        <v>586</v>
      </c>
      <c r="C93" s="23"/>
      <c r="D93" s="23"/>
      <c r="E93" s="24" t="s">
        <v>414</v>
      </c>
      <c r="F93" s="24" t="s">
        <v>36</v>
      </c>
      <c r="G93" s="24" t="s">
        <v>37</v>
      </c>
      <c r="H93" s="22" t="b">
        <v>0</v>
      </c>
      <c r="I93" s="25">
        <v>1.2019652445E10</v>
      </c>
      <c r="J93" s="26" t="s">
        <v>587</v>
      </c>
      <c r="K93" s="26" t="s">
        <v>588</v>
      </c>
      <c r="L93" s="26" t="s">
        <v>56</v>
      </c>
      <c r="M93" s="79"/>
      <c r="N93" s="85"/>
    </row>
    <row r="94">
      <c r="A94" s="204">
        <v>93.0</v>
      </c>
      <c r="B94" s="15" t="s">
        <v>589</v>
      </c>
      <c r="C94" s="12"/>
      <c r="D94" s="12"/>
      <c r="E94" s="13" t="s">
        <v>414</v>
      </c>
      <c r="F94" s="13" t="s">
        <v>60</v>
      </c>
      <c r="G94" s="13" t="s">
        <v>53</v>
      </c>
      <c r="H94" s="10" t="b">
        <v>1</v>
      </c>
      <c r="I94" s="14">
        <v>1.4128530784E10</v>
      </c>
      <c r="J94" s="15" t="s">
        <v>398</v>
      </c>
      <c r="K94" s="15" t="s">
        <v>213</v>
      </c>
      <c r="L94" s="15" t="s">
        <v>40</v>
      </c>
      <c r="M94" s="82"/>
      <c r="N94" s="118"/>
    </row>
    <row r="95">
      <c r="A95" s="206">
        <v>94.0</v>
      </c>
      <c r="B95" s="26" t="s">
        <v>590</v>
      </c>
      <c r="C95" s="23"/>
      <c r="D95" s="23"/>
      <c r="E95" s="24" t="s">
        <v>414</v>
      </c>
      <c r="F95" s="24" t="s">
        <v>60</v>
      </c>
      <c r="G95" s="24" t="s">
        <v>37</v>
      </c>
      <c r="H95" s="22" t="b">
        <v>0</v>
      </c>
      <c r="I95" s="25">
        <v>1.9174639583E10</v>
      </c>
      <c r="J95" s="26" t="s">
        <v>591</v>
      </c>
      <c r="K95" s="26" t="s">
        <v>592</v>
      </c>
      <c r="L95" s="26" t="s">
        <v>77</v>
      </c>
      <c r="M95" s="79"/>
      <c r="N95" s="85"/>
    </row>
    <row r="96">
      <c r="A96" s="204">
        <v>95.0</v>
      </c>
      <c r="B96" s="15" t="s">
        <v>593</v>
      </c>
      <c r="C96" s="12"/>
      <c r="D96" s="12"/>
      <c r="E96" s="13" t="s">
        <v>414</v>
      </c>
      <c r="F96" s="13" t="s">
        <v>36</v>
      </c>
      <c r="G96" s="13" t="s">
        <v>37</v>
      </c>
      <c r="H96" s="10" t="b">
        <v>0</v>
      </c>
      <c r="I96" s="14">
        <v>1.2159648326E10</v>
      </c>
      <c r="J96" s="15" t="s">
        <v>594</v>
      </c>
      <c r="K96" s="15" t="s">
        <v>595</v>
      </c>
      <c r="L96" s="15" t="s">
        <v>70</v>
      </c>
      <c r="M96" s="82"/>
      <c r="N96" s="118"/>
    </row>
    <row r="97">
      <c r="A97" s="206">
        <v>96.0</v>
      </c>
      <c r="B97" s="26" t="s">
        <v>596</v>
      </c>
      <c r="C97" s="23"/>
      <c r="D97" s="23"/>
      <c r="E97" s="24" t="s">
        <v>414</v>
      </c>
      <c r="F97" s="24" t="s">
        <v>36</v>
      </c>
      <c r="G97" s="24" t="s">
        <v>37</v>
      </c>
      <c r="H97" s="22" t="b">
        <v>0</v>
      </c>
      <c r="I97" s="25">
        <v>1.7733078108E10</v>
      </c>
      <c r="J97" s="26" t="s">
        <v>597</v>
      </c>
      <c r="K97" s="26" t="s">
        <v>313</v>
      </c>
      <c r="L97" s="26" t="s">
        <v>314</v>
      </c>
      <c r="M97" s="79"/>
      <c r="N97" s="85"/>
    </row>
    <row r="98">
      <c r="A98" s="204">
        <v>97.0</v>
      </c>
      <c r="B98" s="153" t="s">
        <v>598</v>
      </c>
      <c r="C98" s="12"/>
      <c r="D98" s="12"/>
      <c r="E98" s="13" t="s">
        <v>414</v>
      </c>
      <c r="F98" s="13" t="s">
        <v>60</v>
      </c>
      <c r="G98" s="13" t="s">
        <v>53</v>
      </c>
      <c r="H98" s="10" t="b">
        <v>1</v>
      </c>
      <c r="I98" s="14">
        <v>1.8046474088E10</v>
      </c>
      <c r="J98" s="15" t="s">
        <v>599</v>
      </c>
      <c r="K98" s="15" t="s">
        <v>600</v>
      </c>
      <c r="L98" s="15" t="s">
        <v>84</v>
      </c>
      <c r="M98" s="82"/>
      <c r="N98" s="118"/>
    </row>
    <row r="99">
      <c r="A99" s="206">
        <v>98.0</v>
      </c>
      <c r="B99" s="26" t="s">
        <v>601</v>
      </c>
      <c r="C99" s="23"/>
      <c r="D99" s="23"/>
      <c r="E99" s="24" t="s">
        <v>414</v>
      </c>
      <c r="F99" s="24" t="s">
        <v>60</v>
      </c>
      <c r="G99" s="24" t="s">
        <v>37</v>
      </c>
      <c r="H99" s="22" t="b">
        <v>0</v>
      </c>
      <c r="I99" s="25">
        <v>1.3475024491E10</v>
      </c>
      <c r="J99" s="26" t="s">
        <v>602</v>
      </c>
      <c r="K99" s="26" t="s">
        <v>603</v>
      </c>
      <c r="L99" s="26" t="s">
        <v>77</v>
      </c>
      <c r="M99" s="79"/>
      <c r="N99" s="85"/>
    </row>
    <row r="100">
      <c r="A100" s="204">
        <v>99.0</v>
      </c>
      <c r="B100" s="15" t="s">
        <v>604</v>
      </c>
      <c r="C100" s="12"/>
      <c r="D100" s="12"/>
      <c r="E100" s="13" t="s">
        <v>414</v>
      </c>
      <c r="F100" s="13" t="s">
        <v>36</v>
      </c>
      <c r="G100" s="13" t="s">
        <v>37</v>
      </c>
      <c r="H100" s="10" t="b">
        <v>0</v>
      </c>
      <c r="I100" s="14">
        <v>1.3055824673E10</v>
      </c>
      <c r="J100" s="15" t="s">
        <v>605</v>
      </c>
      <c r="K100" s="15" t="s">
        <v>544</v>
      </c>
      <c r="L100" s="15" t="s">
        <v>40</v>
      </c>
      <c r="M100" s="82"/>
      <c r="N100" s="118"/>
    </row>
    <row r="101">
      <c r="A101" s="206">
        <v>100.0</v>
      </c>
      <c r="B101" s="26" t="s">
        <v>606</v>
      </c>
      <c r="C101" s="23"/>
      <c r="D101" s="23"/>
      <c r="E101" s="24" t="s">
        <v>414</v>
      </c>
      <c r="F101" s="24" t="s">
        <v>60</v>
      </c>
      <c r="G101" s="24" t="s">
        <v>37</v>
      </c>
      <c r="H101" s="22" t="b">
        <v>0</v>
      </c>
      <c r="I101" s="25">
        <v>1.3055824673E10</v>
      </c>
      <c r="J101" s="26" t="s">
        <v>607</v>
      </c>
      <c r="K101" s="26" t="s">
        <v>544</v>
      </c>
      <c r="L101" s="26" t="s">
        <v>40</v>
      </c>
      <c r="M101" s="79"/>
      <c r="N101" s="85"/>
    </row>
    <row r="102">
      <c r="A102" s="204">
        <v>101.0</v>
      </c>
      <c r="B102" s="15" t="s">
        <v>413</v>
      </c>
      <c r="C102" s="12"/>
      <c r="D102" s="12"/>
      <c r="E102" s="13" t="s">
        <v>414</v>
      </c>
      <c r="F102" s="13" t="s">
        <v>36</v>
      </c>
      <c r="G102" s="13" t="s">
        <v>53</v>
      </c>
      <c r="H102" s="10" t="b">
        <v>1</v>
      </c>
      <c r="I102" s="14">
        <v>1.4439296666E10</v>
      </c>
      <c r="J102" s="15" t="s">
        <v>415</v>
      </c>
      <c r="K102" s="15" t="s">
        <v>368</v>
      </c>
      <c r="L102" s="15" t="s">
        <v>105</v>
      </c>
      <c r="M102" s="82"/>
      <c r="N102" s="118"/>
    </row>
    <row r="103">
      <c r="A103" s="206">
        <v>102.0</v>
      </c>
      <c r="B103" s="130" t="s">
        <v>416</v>
      </c>
      <c r="C103" s="23"/>
      <c r="D103" s="23"/>
      <c r="E103" s="24" t="s">
        <v>414</v>
      </c>
      <c r="F103" s="24" t="s">
        <v>36</v>
      </c>
      <c r="G103" s="24" t="s">
        <v>37</v>
      </c>
      <c r="H103" s="22" t="b">
        <v>0</v>
      </c>
      <c r="I103" s="25">
        <v>1.9178256727E10</v>
      </c>
      <c r="J103" s="26" t="s">
        <v>417</v>
      </c>
      <c r="K103" s="26" t="s">
        <v>418</v>
      </c>
      <c r="L103" s="26" t="s">
        <v>77</v>
      </c>
      <c r="M103" s="79"/>
      <c r="N103" s="85"/>
    </row>
    <row r="104">
      <c r="A104" s="204">
        <v>103.0</v>
      </c>
      <c r="B104" s="15" t="s">
        <v>419</v>
      </c>
      <c r="C104" s="12"/>
      <c r="D104" s="12"/>
      <c r="E104" s="13" t="s">
        <v>414</v>
      </c>
      <c r="F104" s="13" t="s">
        <v>36</v>
      </c>
      <c r="G104" s="13" t="s">
        <v>37</v>
      </c>
      <c r="H104" s="10" t="b">
        <v>0</v>
      </c>
      <c r="I104" s="14">
        <v>1.5613463178E10</v>
      </c>
      <c r="J104" s="15" t="s">
        <v>420</v>
      </c>
      <c r="K104" s="15" t="s">
        <v>418</v>
      </c>
      <c r="L104" s="15" t="s">
        <v>77</v>
      </c>
      <c r="M104" s="82"/>
      <c r="N104" s="118"/>
    </row>
    <row r="105">
      <c r="A105" s="206">
        <v>104.0</v>
      </c>
      <c r="B105" s="26" t="s">
        <v>421</v>
      </c>
      <c r="C105" s="23"/>
      <c r="D105" s="23"/>
      <c r="E105" s="24" t="s">
        <v>414</v>
      </c>
      <c r="F105" s="24" t="s">
        <v>60</v>
      </c>
      <c r="G105" s="24" t="s">
        <v>37</v>
      </c>
      <c r="H105" s="22" t="b">
        <v>0</v>
      </c>
      <c r="I105" s="25">
        <v>1.3472256064E10</v>
      </c>
      <c r="J105" s="26" t="s">
        <v>376</v>
      </c>
      <c r="K105" s="26" t="s">
        <v>89</v>
      </c>
      <c r="L105" s="26" t="s">
        <v>77</v>
      </c>
      <c r="M105" s="79"/>
      <c r="N105" s="85"/>
    </row>
    <row r="106">
      <c r="A106" s="204">
        <v>105.0</v>
      </c>
      <c r="B106" s="15" t="s">
        <v>422</v>
      </c>
      <c r="C106" s="12"/>
      <c r="D106" s="12"/>
      <c r="E106" s="13" t="s">
        <v>414</v>
      </c>
      <c r="F106" s="13" t="s">
        <v>60</v>
      </c>
      <c r="G106" s="13" t="s">
        <v>53</v>
      </c>
      <c r="H106" s="10" t="b">
        <v>1</v>
      </c>
      <c r="I106" s="14">
        <v>1.2027701655E10</v>
      </c>
      <c r="J106" s="15" t="s">
        <v>423</v>
      </c>
      <c r="K106" s="15" t="s">
        <v>424</v>
      </c>
      <c r="L106" s="15" t="s">
        <v>84</v>
      </c>
      <c r="M106" s="82"/>
      <c r="N106" s="118"/>
    </row>
    <row r="107">
      <c r="A107" s="206">
        <v>106.0</v>
      </c>
      <c r="B107" s="26" t="s">
        <v>425</v>
      </c>
      <c r="C107" s="23"/>
      <c r="D107" s="23"/>
      <c r="E107" s="24" t="s">
        <v>414</v>
      </c>
      <c r="F107" s="24" t="s">
        <v>36</v>
      </c>
      <c r="G107" s="24" t="s">
        <v>37</v>
      </c>
      <c r="H107" s="22" t="b">
        <v>0</v>
      </c>
      <c r="I107" s="25">
        <v>1.8186656777E10</v>
      </c>
      <c r="J107" s="26" t="s">
        <v>426</v>
      </c>
      <c r="K107" s="26" t="s">
        <v>427</v>
      </c>
      <c r="L107" s="26" t="s">
        <v>194</v>
      </c>
      <c r="M107" s="79"/>
      <c r="N107" s="85"/>
    </row>
    <row r="108">
      <c r="A108" s="204">
        <v>107.0</v>
      </c>
      <c r="B108" s="153" t="s">
        <v>608</v>
      </c>
      <c r="C108" s="12"/>
      <c r="D108" s="12"/>
      <c r="E108" s="13" t="s">
        <v>414</v>
      </c>
      <c r="F108" s="13" t="s">
        <v>60</v>
      </c>
      <c r="G108" s="13" t="s">
        <v>37</v>
      </c>
      <c r="H108" s="10" t="b">
        <v>0</v>
      </c>
      <c r="I108" s="14">
        <v>1.9175842958E10</v>
      </c>
      <c r="J108" s="15" t="s">
        <v>609</v>
      </c>
      <c r="K108" s="15" t="s">
        <v>610</v>
      </c>
      <c r="L108" s="15" t="s">
        <v>77</v>
      </c>
      <c r="M108" s="82"/>
      <c r="N108" s="118"/>
    </row>
    <row r="109">
      <c r="A109" s="206">
        <v>108.0</v>
      </c>
      <c r="B109" s="26" t="s">
        <v>611</v>
      </c>
      <c r="C109" s="23"/>
      <c r="D109" s="23"/>
      <c r="E109" s="24" t="s">
        <v>414</v>
      </c>
      <c r="F109" s="24" t="s">
        <v>60</v>
      </c>
      <c r="G109" s="24" t="s">
        <v>37</v>
      </c>
      <c r="H109" s="22" t="b">
        <v>0</v>
      </c>
      <c r="I109" s="25">
        <v>1.6179538383E10</v>
      </c>
      <c r="J109" s="26" t="s">
        <v>612</v>
      </c>
      <c r="K109" s="26" t="s">
        <v>412</v>
      </c>
      <c r="L109" s="26" t="s">
        <v>301</v>
      </c>
      <c r="M109" s="79"/>
      <c r="N109" s="85"/>
    </row>
    <row r="110">
      <c r="A110" s="204">
        <v>109.0</v>
      </c>
      <c r="B110" s="15" t="s">
        <v>613</v>
      </c>
      <c r="C110" s="12"/>
      <c r="D110" s="12"/>
      <c r="E110" s="13" t="s">
        <v>414</v>
      </c>
      <c r="F110" s="13" t="s">
        <v>60</v>
      </c>
      <c r="G110" s="13" t="s">
        <v>53</v>
      </c>
      <c r="H110" s="10" t="b">
        <v>1</v>
      </c>
      <c r="I110" s="14">
        <v>1.5414998563E10</v>
      </c>
      <c r="J110" s="15" t="s">
        <v>387</v>
      </c>
      <c r="K110" s="15" t="s">
        <v>213</v>
      </c>
      <c r="L110" s="15" t="s">
        <v>40</v>
      </c>
      <c r="M110" s="82"/>
      <c r="N110" s="118"/>
    </row>
    <row r="111">
      <c r="A111" s="206">
        <v>110.0</v>
      </c>
      <c r="B111" s="26" t="s">
        <v>614</v>
      </c>
      <c r="C111" s="23"/>
      <c r="D111" s="23"/>
      <c r="E111" s="24" t="s">
        <v>414</v>
      </c>
      <c r="F111" s="24" t="s">
        <v>36</v>
      </c>
      <c r="G111" s="24" t="s">
        <v>37</v>
      </c>
      <c r="H111" s="22" t="b">
        <v>0</v>
      </c>
      <c r="I111" s="25">
        <v>1.9176222507E10</v>
      </c>
      <c r="J111" s="26" t="s">
        <v>615</v>
      </c>
      <c r="K111" s="26" t="s">
        <v>616</v>
      </c>
      <c r="L111" s="26" t="s">
        <v>40</v>
      </c>
      <c r="M111" s="79"/>
      <c r="N111" s="85"/>
    </row>
    <row r="112">
      <c r="A112" s="204">
        <v>111.0</v>
      </c>
      <c r="B112" s="15" t="s">
        <v>361</v>
      </c>
      <c r="C112" s="12"/>
      <c r="D112" s="12"/>
      <c r="E112" s="13" t="s">
        <v>414</v>
      </c>
      <c r="F112" s="13" t="s">
        <v>60</v>
      </c>
      <c r="G112" s="13" t="s">
        <v>37</v>
      </c>
      <c r="H112" s="10" t="b">
        <v>0</v>
      </c>
      <c r="I112" s="14">
        <v>1.5168504826E10</v>
      </c>
      <c r="J112" s="15" t="s">
        <v>362</v>
      </c>
      <c r="K112" s="15" t="s">
        <v>363</v>
      </c>
      <c r="L112" s="15" t="s">
        <v>77</v>
      </c>
      <c r="M112" s="82"/>
      <c r="N112" s="118"/>
    </row>
    <row r="113">
      <c r="A113" s="206">
        <v>112.0</v>
      </c>
      <c r="B113" s="130" t="s">
        <v>379</v>
      </c>
      <c r="C113" s="23"/>
      <c r="D113" s="23"/>
      <c r="E113" s="24" t="s">
        <v>414</v>
      </c>
      <c r="F113" s="24" t="s">
        <v>36</v>
      </c>
      <c r="G113" s="24" t="s">
        <v>37</v>
      </c>
      <c r="H113" s="22" t="b">
        <v>0</v>
      </c>
      <c r="I113" s="25">
        <v>1.2066502327E10</v>
      </c>
      <c r="J113" s="26" t="s">
        <v>380</v>
      </c>
      <c r="K113" s="26" t="s">
        <v>197</v>
      </c>
      <c r="L113" s="26" t="s">
        <v>198</v>
      </c>
      <c r="M113" s="79"/>
      <c r="N113" s="85"/>
    </row>
    <row r="114">
      <c r="A114" s="204">
        <v>113.0</v>
      </c>
      <c r="B114" s="15" t="s">
        <v>617</v>
      </c>
      <c r="C114" s="12"/>
      <c r="D114" s="12"/>
      <c r="E114" s="13" t="s">
        <v>414</v>
      </c>
      <c r="F114" s="13" t="s">
        <v>60</v>
      </c>
      <c r="G114" s="13" t="s">
        <v>53</v>
      </c>
      <c r="H114" s="10" t="b">
        <v>0</v>
      </c>
      <c r="I114" s="14">
        <v>1.6462343555E10</v>
      </c>
      <c r="J114" s="15" t="s">
        <v>618</v>
      </c>
      <c r="K114" s="15" t="s">
        <v>418</v>
      </c>
      <c r="L114" s="15" t="s">
        <v>77</v>
      </c>
      <c r="M114" s="82"/>
      <c r="N114" s="118"/>
    </row>
    <row r="115">
      <c r="A115" s="206">
        <v>114.0</v>
      </c>
      <c r="B115" s="26" t="s">
        <v>619</v>
      </c>
      <c r="C115" s="23"/>
      <c r="D115" s="23"/>
      <c r="E115" s="24" t="s">
        <v>414</v>
      </c>
      <c r="F115" s="24" t="s">
        <v>60</v>
      </c>
      <c r="G115" s="24" t="s">
        <v>37</v>
      </c>
      <c r="H115" s="22" t="b">
        <v>0</v>
      </c>
      <c r="I115" s="25">
        <v>1.5099812559E10</v>
      </c>
      <c r="J115" s="26" t="s">
        <v>620</v>
      </c>
      <c r="K115" s="26" t="s">
        <v>621</v>
      </c>
      <c r="L115" s="26" t="s">
        <v>198</v>
      </c>
      <c r="M115" s="79"/>
      <c r="N115" s="85"/>
    </row>
    <row r="116">
      <c r="A116" s="204">
        <v>115.0</v>
      </c>
      <c r="B116" s="15" t="s">
        <v>622</v>
      </c>
      <c r="C116" s="12"/>
      <c r="D116" s="12"/>
      <c r="E116" s="13" t="s">
        <v>414</v>
      </c>
      <c r="F116" s="13" t="s">
        <v>36</v>
      </c>
      <c r="G116" s="13" t="s">
        <v>37</v>
      </c>
      <c r="H116" s="10" t="b">
        <v>0</v>
      </c>
      <c r="I116" s="14">
        <v>1.7736141292E10</v>
      </c>
      <c r="J116" s="15" t="s">
        <v>623</v>
      </c>
      <c r="K116" s="15" t="s">
        <v>552</v>
      </c>
      <c r="L116" s="15" t="s">
        <v>40</v>
      </c>
      <c r="M116" s="82"/>
      <c r="N116" s="118"/>
    </row>
    <row r="117">
      <c r="A117" s="206">
        <v>116.0</v>
      </c>
      <c r="B117" s="26" t="s">
        <v>309</v>
      </c>
      <c r="C117" s="23"/>
      <c r="D117" s="23"/>
      <c r="E117" s="24" t="s">
        <v>414</v>
      </c>
      <c r="F117" s="24" t="s">
        <v>60</v>
      </c>
      <c r="G117" s="24" t="s">
        <v>37</v>
      </c>
      <c r="H117" s="22" t="b">
        <v>0</v>
      </c>
      <c r="I117" s="25">
        <v>1.2165334908E10</v>
      </c>
      <c r="J117" s="26" t="s">
        <v>307</v>
      </c>
      <c r="K117" s="26" t="s">
        <v>308</v>
      </c>
      <c r="L117" s="26" t="s">
        <v>109</v>
      </c>
      <c r="M117" s="79"/>
      <c r="N117" s="85"/>
    </row>
    <row r="118">
      <c r="A118" s="204">
        <v>117.0</v>
      </c>
      <c r="B118" s="153" t="s">
        <v>624</v>
      </c>
      <c r="C118" s="12"/>
      <c r="D118" s="12"/>
      <c r="E118" s="13" t="s">
        <v>414</v>
      </c>
      <c r="F118" s="13" t="s">
        <v>36</v>
      </c>
      <c r="G118" s="13" t="s">
        <v>37</v>
      </c>
      <c r="H118" s="10" t="b">
        <v>1</v>
      </c>
      <c r="I118" s="14">
        <v>1.847644369E10</v>
      </c>
      <c r="J118" s="15" t="s">
        <v>625</v>
      </c>
      <c r="K118" s="15" t="s">
        <v>626</v>
      </c>
      <c r="L118" s="15" t="s">
        <v>314</v>
      </c>
      <c r="M118" s="82"/>
      <c r="N118" s="118"/>
    </row>
    <row r="119">
      <c r="A119" s="206">
        <v>118.0</v>
      </c>
      <c r="B119" s="26" t="s">
        <v>627</v>
      </c>
      <c r="C119" s="23"/>
      <c r="D119" s="23"/>
      <c r="E119" s="24" t="s">
        <v>414</v>
      </c>
      <c r="F119" s="24" t="s">
        <v>60</v>
      </c>
      <c r="G119" s="24" t="s">
        <v>37</v>
      </c>
      <c r="H119" s="22" t="b">
        <v>0</v>
      </c>
      <c r="I119" s="25">
        <v>1.9175772149E10</v>
      </c>
      <c r="J119" s="26" t="s">
        <v>628</v>
      </c>
      <c r="K119" s="26" t="s">
        <v>89</v>
      </c>
      <c r="L119" s="26" t="s">
        <v>77</v>
      </c>
      <c r="M119" s="79"/>
      <c r="N119" s="85"/>
    </row>
    <row r="120">
      <c r="A120" s="204">
        <v>119.0</v>
      </c>
      <c r="B120" s="15" t="s">
        <v>629</v>
      </c>
      <c r="C120" s="12"/>
      <c r="D120" s="12"/>
      <c r="E120" s="13" t="s">
        <v>414</v>
      </c>
      <c r="F120" s="13" t="s">
        <v>36</v>
      </c>
      <c r="G120" s="13" t="s">
        <v>37</v>
      </c>
      <c r="H120" s="10" t="b">
        <v>0</v>
      </c>
      <c r="I120" s="14">
        <v>1.5617064147E10</v>
      </c>
      <c r="J120" s="15" t="s">
        <v>630</v>
      </c>
      <c r="K120" s="15" t="s">
        <v>631</v>
      </c>
      <c r="L120" s="15" t="s">
        <v>40</v>
      </c>
      <c r="M120" s="82"/>
      <c r="N120" s="118"/>
    </row>
    <row r="121">
      <c r="A121" s="206">
        <v>120.0</v>
      </c>
      <c r="B121" s="26" t="s">
        <v>632</v>
      </c>
      <c r="C121" s="23"/>
      <c r="D121" s="23"/>
      <c r="E121" s="24" t="s">
        <v>414</v>
      </c>
      <c r="F121" s="24" t="s">
        <v>36</v>
      </c>
      <c r="G121" s="24" t="s">
        <v>37</v>
      </c>
      <c r="H121" s="22" t="b">
        <v>0</v>
      </c>
      <c r="I121" s="25">
        <v>1.7863030149E10</v>
      </c>
      <c r="J121" s="26" t="s">
        <v>633</v>
      </c>
      <c r="K121" s="26" t="s">
        <v>634</v>
      </c>
      <c r="L121" s="26" t="s">
        <v>40</v>
      </c>
      <c r="M121" s="79"/>
      <c r="N121" s="85"/>
    </row>
    <row r="122">
      <c r="A122" s="204">
        <v>121.0</v>
      </c>
      <c r="B122" s="15" t="s">
        <v>635</v>
      </c>
      <c r="C122" s="12"/>
      <c r="D122" s="12"/>
      <c r="E122" s="13" t="s">
        <v>414</v>
      </c>
      <c r="F122" s="13" t="s">
        <v>60</v>
      </c>
      <c r="G122" s="13" t="s">
        <v>53</v>
      </c>
      <c r="H122" s="10" t="b">
        <v>1</v>
      </c>
      <c r="I122" s="14">
        <v>1.4434739776E10</v>
      </c>
      <c r="J122" s="15" t="s">
        <v>378</v>
      </c>
      <c r="K122" s="15" t="s">
        <v>233</v>
      </c>
      <c r="L122" s="15" t="s">
        <v>194</v>
      </c>
      <c r="M122" s="82"/>
      <c r="N122" s="118"/>
    </row>
    <row r="123">
      <c r="A123" s="206">
        <v>122.0</v>
      </c>
      <c r="B123" s="130" t="s">
        <v>636</v>
      </c>
      <c r="C123" s="23"/>
      <c r="D123" s="23"/>
      <c r="E123" s="24" t="s">
        <v>414</v>
      </c>
      <c r="F123" s="24" t="s">
        <v>36</v>
      </c>
      <c r="G123" s="24" t="s">
        <v>37</v>
      </c>
      <c r="H123" s="22" t="b">
        <v>0</v>
      </c>
      <c r="I123" s="252"/>
      <c r="J123" s="72"/>
      <c r="K123" s="26" t="s">
        <v>637</v>
      </c>
      <c r="L123" s="26" t="s">
        <v>638</v>
      </c>
      <c r="M123" s="79"/>
      <c r="N123" s="85"/>
    </row>
    <row r="124">
      <c r="A124" s="204">
        <v>123.0</v>
      </c>
      <c r="B124" s="15" t="s">
        <v>639</v>
      </c>
      <c r="C124" s="12"/>
      <c r="D124" s="12"/>
      <c r="E124" s="13" t="s">
        <v>414</v>
      </c>
      <c r="F124" s="13" t="s">
        <v>60</v>
      </c>
      <c r="G124" s="13" t="s">
        <v>37</v>
      </c>
      <c r="H124" s="10" t="b">
        <v>0</v>
      </c>
      <c r="I124" s="14">
        <v>1.5512046858E10</v>
      </c>
      <c r="J124" s="15" t="s">
        <v>640</v>
      </c>
      <c r="K124" s="15" t="s">
        <v>588</v>
      </c>
      <c r="L124" s="15" t="s">
        <v>56</v>
      </c>
      <c r="M124" s="82"/>
      <c r="N124" s="118"/>
    </row>
    <row r="125">
      <c r="A125" s="206">
        <v>124.0</v>
      </c>
      <c r="B125" s="26" t="s">
        <v>641</v>
      </c>
      <c r="C125" s="23"/>
      <c r="D125" s="23"/>
      <c r="E125" s="24" t="s">
        <v>414</v>
      </c>
      <c r="F125" s="24" t="s">
        <v>60</v>
      </c>
      <c r="G125" s="24" t="s">
        <v>37</v>
      </c>
      <c r="H125" s="22" t="b">
        <v>0</v>
      </c>
      <c r="I125" s="25">
        <v>1.2033124435E10</v>
      </c>
      <c r="J125" s="26" t="s">
        <v>642</v>
      </c>
      <c r="K125" s="26" t="s">
        <v>643</v>
      </c>
      <c r="L125" s="26" t="s">
        <v>100</v>
      </c>
      <c r="M125" s="79"/>
      <c r="N125" s="85"/>
    </row>
    <row r="126">
      <c r="A126" s="204">
        <v>125.0</v>
      </c>
      <c r="B126" s="15" t="s">
        <v>644</v>
      </c>
      <c r="C126" s="12"/>
      <c r="D126" s="12"/>
      <c r="E126" s="13" t="s">
        <v>414</v>
      </c>
      <c r="F126" s="13" t="s">
        <v>36</v>
      </c>
      <c r="G126" s="13" t="s">
        <v>53</v>
      </c>
      <c r="H126" s="10" t="b">
        <v>1</v>
      </c>
      <c r="I126" s="14">
        <v>1.3107296464E10</v>
      </c>
      <c r="J126" s="15" t="s">
        <v>332</v>
      </c>
      <c r="K126" s="15" t="s">
        <v>250</v>
      </c>
      <c r="L126" s="15" t="s">
        <v>194</v>
      </c>
      <c r="M126" s="82"/>
      <c r="N126" s="118"/>
    </row>
    <row r="127">
      <c r="A127" s="206">
        <v>126.0</v>
      </c>
      <c r="B127" s="26" t="s">
        <v>645</v>
      </c>
      <c r="C127" s="23"/>
      <c r="D127" s="23"/>
      <c r="E127" s="24" t="s">
        <v>414</v>
      </c>
      <c r="F127" s="24" t="s">
        <v>60</v>
      </c>
      <c r="G127" s="24" t="s">
        <v>37</v>
      </c>
      <c r="H127" s="22" t="b">
        <v>0</v>
      </c>
      <c r="I127" s="25">
        <v>1.9172171694E10</v>
      </c>
      <c r="J127" s="26" t="s">
        <v>646</v>
      </c>
      <c r="K127" s="26" t="s">
        <v>390</v>
      </c>
      <c r="L127" s="26" t="s">
        <v>56</v>
      </c>
      <c r="M127" s="79"/>
      <c r="N127" s="85"/>
    </row>
    <row r="128">
      <c r="A128" s="204">
        <v>127.0</v>
      </c>
      <c r="B128" s="153" t="s">
        <v>647</v>
      </c>
      <c r="C128" s="12"/>
      <c r="D128" s="12"/>
      <c r="E128" s="13" t="s">
        <v>414</v>
      </c>
      <c r="F128" s="13" t="s">
        <v>36</v>
      </c>
      <c r="G128" s="13" t="s">
        <v>37</v>
      </c>
      <c r="H128" s="10" t="b">
        <v>0</v>
      </c>
      <c r="I128" s="253"/>
      <c r="J128" s="67"/>
      <c r="K128" s="15" t="s">
        <v>648</v>
      </c>
      <c r="L128" s="15" t="s">
        <v>70</v>
      </c>
      <c r="M128" s="82"/>
      <c r="N128" s="118"/>
    </row>
    <row r="129">
      <c r="A129" s="206">
        <v>128.0</v>
      </c>
      <c r="B129" s="26" t="s">
        <v>649</v>
      </c>
      <c r="C129" s="23"/>
      <c r="D129" s="23"/>
      <c r="E129" s="24" t="s">
        <v>414</v>
      </c>
      <c r="F129" s="24" t="s">
        <v>36</v>
      </c>
      <c r="G129" s="24" t="s">
        <v>37</v>
      </c>
      <c r="H129" s="22" t="b">
        <v>0</v>
      </c>
      <c r="I129" s="25">
        <v>1.310488671E10</v>
      </c>
      <c r="J129" s="26" t="s">
        <v>650</v>
      </c>
      <c r="K129" s="26" t="s">
        <v>250</v>
      </c>
      <c r="L129" s="26" t="s">
        <v>194</v>
      </c>
      <c r="M129" s="79"/>
      <c r="N129" s="85"/>
    </row>
    <row r="130">
      <c r="A130" s="204">
        <v>129.0</v>
      </c>
      <c r="B130" s="15" t="s">
        <v>651</v>
      </c>
      <c r="C130" s="12"/>
      <c r="D130" s="12"/>
      <c r="E130" s="13" t="s">
        <v>414</v>
      </c>
      <c r="F130" s="13" t="s">
        <v>60</v>
      </c>
      <c r="G130" s="13" t="s">
        <v>53</v>
      </c>
      <c r="H130" s="10" t="b">
        <v>1</v>
      </c>
      <c r="I130" s="14">
        <v>1.5167431645E10</v>
      </c>
      <c r="J130" s="15" t="s">
        <v>652</v>
      </c>
      <c r="K130" s="15" t="s">
        <v>653</v>
      </c>
      <c r="L130" s="15" t="s">
        <v>56</v>
      </c>
      <c r="M130" s="82"/>
      <c r="N130" s="118"/>
    </row>
    <row r="131">
      <c r="A131" s="206">
        <v>130.0</v>
      </c>
      <c r="B131" s="26" t="s">
        <v>654</v>
      </c>
      <c r="C131" s="23"/>
      <c r="D131" s="23"/>
      <c r="E131" s="24" t="s">
        <v>414</v>
      </c>
      <c r="F131" s="24" t="s">
        <v>60</v>
      </c>
      <c r="G131" s="24" t="s">
        <v>37</v>
      </c>
      <c r="H131" s="22" t="b">
        <v>0</v>
      </c>
      <c r="I131" s="25">
        <v>1.6055457218E10</v>
      </c>
      <c r="J131" s="26" t="s">
        <v>655</v>
      </c>
      <c r="K131" s="26" t="s">
        <v>197</v>
      </c>
      <c r="L131" s="26" t="s">
        <v>198</v>
      </c>
      <c r="M131" s="79"/>
      <c r="N131" s="85"/>
    </row>
    <row r="132">
      <c r="A132" s="204">
        <v>131.0</v>
      </c>
      <c r="B132" s="15" t="s">
        <v>656</v>
      </c>
      <c r="C132" s="12"/>
      <c r="D132" s="12"/>
      <c r="E132" s="13" t="s">
        <v>414</v>
      </c>
      <c r="F132" s="13" t="s">
        <v>60</v>
      </c>
      <c r="G132" s="13" t="s">
        <v>37</v>
      </c>
      <c r="H132" s="10" t="b">
        <v>0</v>
      </c>
      <c r="I132" s="14">
        <v>1.3472594797E10</v>
      </c>
      <c r="J132" s="15" t="s">
        <v>657</v>
      </c>
      <c r="K132" s="15" t="s">
        <v>658</v>
      </c>
      <c r="L132" s="15" t="s">
        <v>40</v>
      </c>
      <c r="M132" s="82"/>
      <c r="N132" s="118"/>
    </row>
    <row r="133">
      <c r="A133" s="206">
        <v>132.0</v>
      </c>
      <c r="B133" s="130" t="s">
        <v>659</v>
      </c>
      <c r="C133" s="23"/>
      <c r="D133" s="23"/>
      <c r="E133" s="24" t="s">
        <v>414</v>
      </c>
      <c r="F133" s="24" t="s">
        <v>60</v>
      </c>
      <c r="G133" s="24" t="s">
        <v>37</v>
      </c>
      <c r="H133" s="22" t="b">
        <v>0</v>
      </c>
      <c r="I133" s="25">
        <v>1.4042100539E10</v>
      </c>
      <c r="J133" s="26" t="s">
        <v>660</v>
      </c>
      <c r="K133" s="26" t="s">
        <v>661</v>
      </c>
      <c r="L133" s="26" t="s">
        <v>63</v>
      </c>
      <c r="M133" s="79"/>
      <c r="N133" s="85"/>
    </row>
    <row r="134">
      <c r="A134" s="204">
        <v>133.0</v>
      </c>
      <c r="B134" s="15" t="s">
        <v>662</v>
      </c>
      <c r="C134" s="12"/>
      <c r="D134" s="12"/>
      <c r="E134" s="13" t="s">
        <v>414</v>
      </c>
      <c r="F134" s="13" t="s">
        <v>36</v>
      </c>
      <c r="G134" s="13" t="s">
        <v>53</v>
      </c>
      <c r="H134" s="10" t="b">
        <v>0</v>
      </c>
      <c r="I134" s="14">
        <v>1.8587401361E10</v>
      </c>
      <c r="J134" s="15" t="s">
        <v>663</v>
      </c>
      <c r="K134" s="15" t="s">
        <v>664</v>
      </c>
      <c r="L134" s="15" t="s">
        <v>194</v>
      </c>
      <c r="M134" s="82"/>
      <c r="N134" s="118"/>
    </row>
    <row r="135">
      <c r="A135" s="206">
        <v>134.0</v>
      </c>
      <c r="B135" s="26" t="s">
        <v>388</v>
      </c>
      <c r="C135" s="23"/>
      <c r="D135" s="23"/>
      <c r="E135" s="24" t="s">
        <v>414</v>
      </c>
      <c r="F135" s="24" t="s">
        <v>60</v>
      </c>
      <c r="G135" s="24" t="s">
        <v>37</v>
      </c>
      <c r="H135" s="22" t="b">
        <v>0</v>
      </c>
      <c r="I135" s="25">
        <v>1.2016509827E10</v>
      </c>
      <c r="J135" s="26" t="s">
        <v>389</v>
      </c>
      <c r="K135" s="26" t="s">
        <v>390</v>
      </c>
      <c r="L135" s="26" t="s">
        <v>56</v>
      </c>
      <c r="M135" s="79"/>
      <c r="N135" s="85"/>
    </row>
    <row r="136">
      <c r="A136" s="204">
        <v>135.0</v>
      </c>
      <c r="B136" s="15" t="s">
        <v>665</v>
      </c>
      <c r="C136" s="12"/>
      <c r="D136" s="12"/>
      <c r="E136" s="13" t="s">
        <v>414</v>
      </c>
      <c r="F136" s="13" t="s">
        <v>36</v>
      </c>
      <c r="G136" s="13" t="s">
        <v>37</v>
      </c>
      <c r="H136" s="10" t="b">
        <v>0</v>
      </c>
      <c r="I136" s="14">
        <v>1.8188540046E10</v>
      </c>
      <c r="J136" s="15" t="s">
        <v>666</v>
      </c>
      <c r="K136" s="15" t="s">
        <v>667</v>
      </c>
      <c r="L136" s="15" t="s">
        <v>505</v>
      </c>
      <c r="M136" s="82"/>
      <c r="N136" s="118"/>
    </row>
    <row r="137">
      <c r="A137" s="206">
        <v>136.0</v>
      </c>
      <c r="B137" s="26" t="s">
        <v>668</v>
      </c>
      <c r="C137" s="23"/>
      <c r="D137" s="23"/>
      <c r="E137" s="24" t="s">
        <v>414</v>
      </c>
      <c r="F137" s="24" t="s">
        <v>36</v>
      </c>
      <c r="G137" s="24" t="s">
        <v>37</v>
      </c>
      <c r="H137" s="22" t="b">
        <v>0</v>
      </c>
      <c r="I137" s="25">
        <v>1.3054312089E10</v>
      </c>
      <c r="J137" s="26" t="s">
        <v>669</v>
      </c>
      <c r="K137" s="26" t="s">
        <v>670</v>
      </c>
      <c r="L137" s="26" t="s">
        <v>40</v>
      </c>
      <c r="M137" s="79"/>
      <c r="N137" s="85"/>
    </row>
    <row r="138">
      <c r="A138" s="204">
        <v>137.0</v>
      </c>
      <c r="B138" s="153" t="s">
        <v>671</v>
      </c>
      <c r="C138" s="12"/>
      <c r="D138" s="12"/>
      <c r="E138" s="13" t="s">
        <v>414</v>
      </c>
      <c r="F138" s="13" t="s">
        <v>60</v>
      </c>
      <c r="G138" s="13" t="s">
        <v>53</v>
      </c>
      <c r="H138" s="10" t="b">
        <v>1</v>
      </c>
      <c r="I138" s="14">
        <v>1.5166108393E10</v>
      </c>
      <c r="J138" s="15" t="s">
        <v>318</v>
      </c>
      <c r="K138" s="15" t="s">
        <v>319</v>
      </c>
      <c r="L138" s="15" t="s">
        <v>77</v>
      </c>
      <c r="M138" s="82"/>
      <c r="N138" s="118"/>
    </row>
    <row r="139">
      <c r="A139" s="206">
        <v>138.0</v>
      </c>
      <c r="B139" s="26" t="s">
        <v>672</v>
      </c>
      <c r="C139" s="23"/>
      <c r="D139" s="23"/>
      <c r="E139" s="24" t="s">
        <v>414</v>
      </c>
      <c r="F139" s="24" t="s">
        <v>60</v>
      </c>
      <c r="G139" s="24" t="s">
        <v>37</v>
      </c>
      <c r="H139" s="22" t="b">
        <v>0</v>
      </c>
      <c r="I139" s="25">
        <v>1.8566308877E10</v>
      </c>
      <c r="J139" s="26" t="s">
        <v>673</v>
      </c>
      <c r="K139" s="26" t="s">
        <v>674</v>
      </c>
      <c r="L139" s="26" t="s">
        <v>56</v>
      </c>
      <c r="M139" s="79"/>
      <c r="N139" s="85"/>
    </row>
    <row r="140">
      <c r="A140" s="204">
        <v>139.0</v>
      </c>
      <c r="B140" s="15" t="s">
        <v>675</v>
      </c>
      <c r="C140" s="12"/>
      <c r="D140" s="12"/>
      <c r="E140" s="13" t="s">
        <v>414</v>
      </c>
      <c r="F140" s="13" t="s">
        <v>60</v>
      </c>
      <c r="G140" s="13" t="s">
        <v>37</v>
      </c>
      <c r="H140" s="10" t="b">
        <v>0</v>
      </c>
      <c r="I140" s="14">
        <v>1.6179304282E10</v>
      </c>
      <c r="J140" s="15" t="s">
        <v>676</v>
      </c>
      <c r="K140" s="15" t="s">
        <v>313</v>
      </c>
      <c r="L140" s="15" t="s">
        <v>314</v>
      </c>
      <c r="M140" s="82"/>
      <c r="N140" s="118"/>
    </row>
    <row r="141">
      <c r="A141" s="206">
        <v>140.0</v>
      </c>
      <c r="B141" s="26" t="s">
        <v>677</v>
      </c>
      <c r="C141" s="23"/>
      <c r="D141" s="23"/>
      <c r="E141" s="24" t="s">
        <v>414</v>
      </c>
      <c r="F141" s="24" t="s">
        <v>36</v>
      </c>
      <c r="G141" s="24" t="s">
        <v>37</v>
      </c>
      <c r="H141" s="22" t="b">
        <v>0</v>
      </c>
      <c r="I141" s="25">
        <v>1.9174399964E10</v>
      </c>
      <c r="J141" s="26" t="s">
        <v>678</v>
      </c>
      <c r="K141" s="26" t="s">
        <v>418</v>
      </c>
      <c r="L141" s="26" t="s">
        <v>77</v>
      </c>
      <c r="M141" s="79"/>
      <c r="N141" s="85"/>
    </row>
    <row r="142">
      <c r="A142" s="204">
        <v>141.0</v>
      </c>
      <c r="B142" s="15" t="s">
        <v>679</v>
      </c>
      <c r="C142" s="12"/>
      <c r="D142" s="12"/>
      <c r="E142" s="13" t="s">
        <v>414</v>
      </c>
      <c r="F142" s="13" t="s">
        <v>60</v>
      </c>
      <c r="G142" s="13" t="s">
        <v>53</v>
      </c>
      <c r="H142" s="10" t="b">
        <v>0</v>
      </c>
      <c r="I142" s="14">
        <v>1.7862613657E10</v>
      </c>
      <c r="J142" s="15" t="s">
        <v>680</v>
      </c>
      <c r="K142" s="15" t="s">
        <v>544</v>
      </c>
      <c r="L142" s="15" t="s">
        <v>40</v>
      </c>
      <c r="M142" s="82"/>
      <c r="N142" s="118"/>
    </row>
    <row r="143">
      <c r="A143" s="206">
        <v>142.0</v>
      </c>
      <c r="B143" s="130" t="s">
        <v>244</v>
      </c>
      <c r="C143" s="23"/>
      <c r="D143" s="23"/>
      <c r="E143" s="24" t="s">
        <v>414</v>
      </c>
      <c r="F143" s="24" t="s">
        <v>60</v>
      </c>
      <c r="G143" s="24" t="s">
        <v>37</v>
      </c>
      <c r="H143" s="22" t="b">
        <v>0</v>
      </c>
      <c r="I143" s="25">
        <v>1.3236100065E10</v>
      </c>
      <c r="J143" s="26" t="s">
        <v>245</v>
      </c>
      <c r="K143" s="26" t="s">
        <v>246</v>
      </c>
      <c r="L143" s="26" t="s">
        <v>247</v>
      </c>
      <c r="M143" s="79"/>
      <c r="N143" s="85"/>
    </row>
    <row r="144">
      <c r="A144" s="204">
        <v>143.0</v>
      </c>
      <c r="B144" s="15" t="s">
        <v>681</v>
      </c>
      <c r="C144" s="12"/>
      <c r="D144" s="12"/>
      <c r="E144" s="13" t="s">
        <v>414</v>
      </c>
      <c r="F144" s="13" t="s">
        <v>36</v>
      </c>
      <c r="G144" s="13" t="s">
        <v>37</v>
      </c>
      <c r="H144" s="10" t="b">
        <v>0</v>
      </c>
      <c r="I144" s="14">
        <v>1.2527964541E10</v>
      </c>
      <c r="J144" s="15" t="s">
        <v>682</v>
      </c>
      <c r="K144" s="15" t="s">
        <v>683</v>
      </c>
      <c r="L144" s="15" t="s">
        <v>684</v>
      </c>
      <c r="M144" s="82"/>
      <c r="N144" s="118"/>
    </row>
    <row r="145">
      <c r="A145" s="206">
        <v>144.0</v>
      </c>
      <c r="B145" s="26" t="s">
        <v>685</v>
      </c>
      <c r="C145" s="23"/>
      <c r="D145" s="23"/>
      <c r="E145" s="24" t="s">
        <v>414</v>
      </c>
      <c r="F145" s="24" t="s">
        <v>36</v>
      </c>
      <c r="G145" s="24" t="s">
        <v>37</v>
      </c>
      <c r="H145" s="22" t="b">
        <v>0</v>
      </c>
      <c r="I145" s="25">
        <v>1.2814681223E10</v>
      </c>
      <c r="J145" s="26" t="s">
        <v>686</v>
      </c>
      <c r="K145" s="26" t="s">
        <v>661</v>
      </c>
      <c r="L145" s="26" t="s">
        <v>63</v>
      </c>
      <c r="M145" s="79"/>
      <c r="N145" s="85"/>
    </row>
    <row r="146">
      <c r="A146" s="204">
        <v>145.0</v>
      </c>
      <c r="B146" s="15" t="s">
        <v>687</v>
      </c>
      <c r="C146" s="12"/>
      <c r="D146" s="12"/>
      <c r="E146" s="13" t="s">
        <v>414</v>
      </c>
      <c r="F146" s="13" t="s">
        <v>60</v>
      </c>
      <c r="G146" s="13" t="s">
        <v>53</v>
      </c>
      <c r="H146" s="10" t="b">
        <v>0</v>
      </c>
      <c r="I146" s="14">
        <v>1.5169875676E10</v>
      </c>
      <c r="J146" s="15" t="s">
        <v>688</v>
      </c>
      <c r="K146" s="15" t="s">
        <v>689</v>
      </c>
      <c r="L146" s="15" t="s">
        <v>77</v>
      </c>
      <c r="M146" s="82"/>
      <c r="N146" s="118"/>
    </row>
    <row r="147">
      <c r="A147" s="206">
        <v>146.0</v>
      </c>
      <c r="B147" s="26" t="s">
        <v>690</v>
      </c>
      <c r="C147" s="23"/>
      <c r="D147" s="23"/>
      <c r="E147" s="24" t="s">
        <v>414</v>
      </c>
      <c r="F147" s="24" t="s">
        <v>60</v>
      </c>
      <c r="G147" s="24" t="s">
        <v>37</v>
      </c>
      <c r="H147" s="22" t="b">
        <v>0</v>
      </c>
      <c r="I147" s="25">
        <v>1.3052402345E10</v>
      </c>
      <c r="J147" s="26" t="s">
        <v>691</v>
      </c>
      <c r="K147" s="26" t="s">
        <v>692</v>
      </c>
      <c r="L147" s="26" t="s">
        <v>40</v>
      </c>
      <c r="M147" s="79"/>
      <c r="N147" s="85"/>
    </row>
    <row r="148">
      <c r="A148" s="204">
        <v>147.0</v>
      </c>
      <c r="B148" s="153" t="s">
        <v>693</v>
      </c>
      <c r="C148" s="12"/>
      <c r="D148" s="12"/>
      <c r="E148" s="13" t="s">
        <v>414</v>
      </c>
      <c r="F148" s="13" t="s">
        <v>60</v>
      </c>
      <c r="G148" s="13" t="s">
        <v>37</v>
      </c>
      <c r="H148" s="10" t="b">
        <v>0</v>
      </c>
      <c r="I148" s="14">
        <v>1.8183210069E10</v>
      </c>
      <c r="J148" s="15" t="s">
        <v>694</v>
      </c>
      <c r="K148" s="15" t="s">
        <v>695</v>
      </c>
      <c r="L148" s="15" t="s">
        <v>194</v>
      </c>
      <c r="M148" s="82"/>
      <c r="N148" s="118"/>
    </row>
    <row r="149">
      <c r="A149" s="206">
        <v>148.0</v>
      </c>
      <c r="B149" s="26" t="s">
        <v>696</v>
      </c>
      <c r="C149" s="23"/>
      <c r="D149" s="23"/>
      <c r="E149" s="24" t="s">
        <v>414</v>
      </c>
      <c r="F149" s="24" t="s">
        <v>60</v>
      </c>
      <c r="G149" s="24" t="s">
        <v>37</v>
      </c>
      <c r="H149" s="22" t="b">
        <v>0</v>
      </c>
      <c r="I149" s="25">
        <v>1.8583363601E10</v>
      </c>
      <c r="J149" s="26" t="s">
        <v>697</v>
      </c>
      <c r="K149" s="26" t="s">
        <v>698</v>
      </c>
      <c r="L149" s="26" t="s">
        <v>194</v>
      </c>
      <c r="M149" s="79"/>
      <c r="N149" s="85"/>
    </row>
    <row r="150">
      <c r="A150" s="204">
        <v>149.0</v>
      </c>
      <c r="B150" s="15" t="s">
        <v>699</v>
      </c>
      <c r="C150" s="12"/>
      <c r="D150" s="12"/>
      <c r="E150" s="13" t="s">
        <v>414</v>
      </c>
      <c r="F150" s="13" t="s">
        <v>36</v>
      </c>
      <c r="G150" s="13" t="s">
        <v>53</v>
      </c>
      <c r="H150" s="10" t="b">
        <v>0</v>
      </c>
      <c r="I150" s="14">
        <v>1.4434739776E10</v>
      </c>
      <c r="J150" s="15" t="s">
        <v>700</v>
      </c>
      <c r="K150" s="15" t="s">
        <v>233</v>
      </c>
      <c r="L150" s="15" t="s">
        <v>194</v>
      </c>
      <c r="M150" s="82"/>
      <c r="N150" s="118"/>
    </row>
    <row r="151">
      <c r="A151" s="206">
        <v>150.0</v>
      </c>
      <c r="B151" s="26" t="s">
        <v>701</v>
      </c>
      <c r="C151" s="23"/>
      <c r="D151" s="23"/>
      <c r="E151" s="24" t="s">
        <v>414</v>
      </c>
      <c r="F151" s="24" t="s">
        <v>36</v>
      </c>
      <c r="G151" s="24" t="s">
        <v>37</v>
      </c>
      <c r="H151" s="22" t="b">
        <v>0</v>
      </c>
      <c r="I151" s="25">
        <v>1.6199900922E10</v>
      </c>
      <c r="J151" s="26" t="s">
        <v>702</v>
      </c>
      <c r="K151" s="26" t="s">
        <v>698</v>
      </c>
      <c r="L151" s="26" t="s">
        <v>194</v>
      </c>
      <c r="M151" s="79"/>
      <c r="N151" s="85"/>
    </row>
    <row r="152">
      <c r="A152" s="204">
        <v>151.0</v>
      </c>
      <c r="B152" s="15" t="s">
        <v>703</v>
      </c>
      <c r="C152" s="12"/>
      <c r="D152" s="12"/>
      <c r="E152" s="13" t="s">
        <v>414</v>
      </c>
      <c r="F152" s="13" t="s">
        <v>36</v>
      </c>
      <c r="G152" s="13" t="s">
        <v>37</v>
      </c>
      <c r="H152" s="10" t="b">
        <v>0</v>
      </c>
      <c r="I152" s="14">
        <v>1.3057107267E10</v>
      </c>
      <c r="J152" s="15" t="s">
        <v>704</v>
      </c>
      <c r="K152" s="15" t="s">
        <v>634</v>
      </c>
      <c r="L152" s="15" t="s">
        <v>40</v>
      </c>
      <c r="M152" s="82"/>
      <c r="N152" s="118"/>
    </row>
    <row r="153">
      <c r="A153" s="206">
        <v>152.0</v>
      </c>
      <c r="B153" s="130" t="s">
        <v>705</v>
      </c>
      <c r="C153" s="23"/>
      <c r="D153" s="23"/>
      <c r="E153" s="24" t="s">
        <v>414</v>
      </c>
      <c r="F153" s="24" t="s">
        <v>60</v>
      </c>
      <c r="G153" s="24" t="s">
        <v>37</v>
      </c>
      <c r="H153" s="22" t="b">
        <v>0</v>
      </c>
      <c r="I153" s="25">
        <v>1.3015980285E10</v>
      </c>
      <c r="J153" s="26" t="s">
        <v>706</v>
      </c>
      <c r="K153" s="26" t="s">
        <v>707</v>
      </c>
      <c r="L153" s="26" t="s">
        <v>105</v>
      </c>
      <c r="M153" s="79"/>
      <c r="N153" s="85"/>
    </row>
    <row r="154">
      <c r="A154" s="204">
        <v>153.0</v>
      </c>
      <c r="B154" s="15" t="s">
        <v>708</v>
      </c>
      <c r="C154" s="12"/>
      <c r="D154" s="12"/>
      <c r="E154" s="13" t="s">
        <v>414</v>
      </c>
      <c r="F154" s="13" t="s">
        <v>36</v>
      </c>
      <c r="G154" s="13" t="s">
        <v>53</v>
      </c>
      <c r="H154" s="10" t="b">
        <v>1</v>
      </c>
      <c r="I154" s="14">
        <v>1.6145704014E10</v>
      </c>
      <c r="J154" s="15" t="s">
        <v>186</v>
      </c>
      <c r="K154" s="15" t="s">
        <v>139</v>
      </c>
      <c r="L154" s="15" t="s">
        <v>109</v>
      </c>
      <c r="M154" s="82"/>
      <c r="N154" s="118"/>
    </row>
    <row r="155">
      <c r="A155" s="206">
        <v>154.0</v>
      </c>
      <c r="B155" s="26" t="s">
        <v>709</v>
      </c>
      <c r="C155" s="23"/>
      <c r="D155" s="23"/>
      <c r="E155" s="24" t="s">
        <v>414</v>
      </c>
      <c r="F155" s="24" t="s">
        <v>60</v>
      </c>
      <c r="G155" s="24" t="s">
        <v>37</v>
      </c>
      <c r="H155" s="22" t="b">
        <v>0</v>
      </c>
      <c r="I155" s="25">
        <v>1.3219876101E10</v>
      </c>
      <c r="J155" s="26" t="s">
        <v>710</v>
      </c>
      <c r="K155" s="26" t="s">
        <v>711</v>
      </c>
      <c r="L155" s="26" t="s">
        <v>40</v>
      </c>
      <c r="M155" s="79"/>
      <c r="N155" s="85"/>
    </row>
    <row r="156">
      <c r="A156" s="204">
        <v>155.0</v>
      </c>
      <c r="B156" s="15" t="s">
        <v>712</v>
      </c>
      <c r="C156" s="12"/>
      <c r="D156" s="12"/>
      <c r="E156" s="13" t="s">
        <v>414</v>
      </c>
      <c r="F156" s="13" t="s">
        <v>36</v>
      </c>
      <c r="G156" s="13" t="s">
        <v>37</v>
      </c>
      <c r="H156" s="10" t="b">
        <v>0</v>
      </c>
      <c r="I156" s="14">
        <v>1.516637402E10</v>
      </c>
      <c r="J156" s="15" t="s">
        <v>713</v>
      </c>
      <c r="K156" s="15" t="s">
        <v>714</v>
      </c>
      <c r="L156" s="15" t="s">
        <v>77</v>
      </c>
      <c r="M156" s="82"/>
      <c r="N156" s="118"/>
    </row>
    <row r="157">
      <c r="A157" s="206">
        <v>156.0</v>
      </c>
      <c r="B157" s="26" t="s">
        <v>715</v>
      </c>
      <c r="C157" s="23"/>
      <c r="D157" s="23"/>
      <c r="E157" s="24" t="s">
        <v>414</v>
      </c>
      <c r="F157" s="24" t="s">
        <v>60</v>
      </c>
      <c r="G157" s="24" t="s">
        <v>37</v>
      </c>
      <c r="H157" s="22" t="b">
        <v>0</v>
      </c>
      <c r="I157" s="25">
        <v>1.5613442562E10</v>
      </c>
      <c r="J157" s="26" t="s">
        <v>716</v>
      </c>
      <c r="K157" s="26" t="s">
        <v>360</v>
      </c>
      <c r="L157" s="26" t="s">
        <v>40</v>
      </c>
      <c r="M157" s="79"/>
      <c r="N157" s="85"/>
    </row>
    <row r="158">
      <c r="A158" s="204">
        <v>157.0</v>
      </c>
      <c r="B158" s="153" t="s">
        <v>717</v>
      </c>
      <c r="C158" s="12"/>
      <c r="D158" s="12"/>
      <c r="E158" s="13" t="s">
        <v>414</v>
      </c>
      <c r="F158" s="13" t="s">
        <v>60</v>
      </c>
      <c r="G158" s="13" t="s">
        <v>53</v>
      </c>
      <c r="H158" s="10" t="b">
        <v>0</v>
      </c>
      <c r="I158" s="14">
        <v>1.9177559132E10</v>
      </c>
      <c r="J158" s="15" t="s">
        <v>718</v>
      </c>
      <c r="K158" s="15" t="s">
        <v>89</v>
      </c>
      <c r="L158" s="15" t="s">
        <v>77</v>
      </c>
      <c r="M158" s="82"/>
      <c r="N158" s="118"/>
    </row>
    <row r="159">
      <c r="A159" s="206">
        <v>158.0</v>
      </c>
      <c r="B159" s="26" t="s">
        <v>719</v>
      </c>
      <c r="C159" s="23"/>
      <c r="D159" s="23"/>
      <c r="E159" s="24" t="s">
        <v>414</v>
      </c>
      <c r="F159" s="24" t="s">
        <v>36</v>
      </c>
      <c r="G159" s="24" t="s">
        <v>37</v>
      </c>
      <c r="H159" s="22" t="b">
        <v>0</v>
      </c>
      <c r="I159" s="25">
        <v>1.9175260319E10</v>
      </c>
      <c r="J159" s="26" t="s">
        <v>720</v>
      </c>
      <c r="K159" s="26" t="s">
        <v>661</v>
      </c>
      <c r="L159" s="26" t="s">
        <v>63</v>
      </c>
      <c r="M159" s="79"/>
      <c r="N159" s="85"/>
    </row>
    <row r="160">
      <c r="A160" s="204">
        <v>159.0</v>
      </c>
      <c r="B160" s="15" t="s">
        <v>721</v>
      </c>
      <c r="C160" s="12"/>
      <c r="D160" s="12"/>
      <c r="E160" s="13" t="s">
        <v>414</v>
      </c>
      <c r="F160" s="13" t="s">
        <v>36</v>
      </c>
      <c r="G160" s="13" t="s">
        <v>37</v>
      </c>
      <c r="H160" s="10" t="b">
        <v>0</v>
      </c>
      <c r="I160" s="14">
        <v>1.9135142923E10</v>
      </c>
      <c r="J160" s="15" t="s">
        <v>722</v>
      </c>
      <c r="K160" s="15" t="s">
        <v>723</v>
      </c>
      <c r="L160" s="15" t="s">
        <v>402</v>
      </c>
      <c r="M160" s="82"/>
      <c r="N160" s="118"/>
    </row>
    <row r="161">
      <c r="A161" s="206">
        <v>160.0</v>
      </c>
      <c r="B161" s="26" t="s">
        <v>724</v>
      </c>
      <c r="C161" s="23"/>
      <c r="D161" s="23"/>
      <c r="E161" s="24" t="s">
        <v>414</v>
      </c>
      <c r="F161" s="24" t="s">
        <v>60</v>
      </c>
      <c r="G161" s="24" t="s">
        <v>37</v>
      </c>
      <c r="H161" s="22" t="b">
        <v>0</v>
      </c>
      <c r="I161" s="25">
        <v>1.516242042E10</v>
      </c>
      <c r="J161" s="26" t="s">
        <v>725</v>
      </c>
      <c r="K161" s="26" t="s">
        <v>726</v>
      </c>
      <c r="L161" s="26" t="s">
        <v>77</v>
      </c>
      <c r="M161" s="79"/>
      <c r="N161" s="85"/>
    </row>
    <row r="162">
      <c r="A162" s="204">
        <v>161.0</v>
      </c>
      <c r="B162" s="15" t="s">
        <v>727</v>
      </c>
      <c r="C162" s="12"/>
      <c r="D162" s="12"/>
      <c r="E162" s="13" t="s">
        <v>414</v>
      </c>
      <c r="F162" s="13" t="s">
        <v>36</v>
      </c>
      <c r="G162" s="13" t="s">
        <v>53</v>
      </c>
      <c r="H162" s="10" t="b">
        <v>1</v>
      </c>
      <c r="I162" s="14">
        <v>1.9175455577E10</v>
      </c>
      <c r="J162" s="15" t="s">
        <v>728</v>
      </c>
      <c r="K162" s="15" t="s">
        <v>729</v>
      </c>
      <c r="L162" s="15" t="s">
        <v>40</v>
      </c>
      <c r="M162" s="82"/>
      <c r="N162" s="118"/>
    </row>
    <row r="163">
      <c r="A163" s="206">
        <v>162.0</v>
      </c>
      <c r="B163" s="130" t="s">
        <v>730</v>
      </c>
      <c r="C163" s="23"/>
      <c r="D163" s="23"/>
      <c r="E163" s="24" t="s">
        <v>414</v>
      </c>
      <c r="F163" s="24" t="s">
        <v>60</v>
      </c>
      <c r="G163" s="24" t="s">
        <v>37</v>
      </c>
      <c r="H163" s="22" t="b">
        <v>0</v>
      </c>
      <c r="I163" s="25">
        <v>1.5167764042E10</v>
      </c>
      <c r="J163" s="26" t="s">
        <v>731</v>
      </c>
      <c r="K163" s="26" t="s">
        <v>732</v>
      </c>
      <c r="L163" s="26" t="s">
        <v>40</v>
      </c>
      <c r="M163" s="79"/>
      <c r="N163" s="85"/>
    </row>
    <row r="164">
      <c r="A164" s="204">
        <v>163.0</v>
      </c>
      <c r="B164" s="15" t="s">
        <v>733</v>
      </c>
      <c r="C164" s="12"/>
      <c r="D164" s="12"/>
      <c r="E164" s="13" t="s">
        <v>414</v>
      </c>
      <c r="F164" s="13" t="s">
        <v>60</v>
      </c>
      <c r="G164" s="13" t="s">
        <v>37</v>
      </c>
      <c r="H164" s="10" t="b">
        <v>0</v>
      </c>
      <c r="I164" s="14">
        <v>1.4436782783E10</v>
      </c>
      <c r="J164" s="15" t="s">
        <v>734</v>
      </c>
      <c r="K164" s="15" t="s">
        <v>368</v>
      </c>
      <c r="L164" s="15" t="s">
        <v>105</v>
      </c>
      <c r="M164" s="82"/>
      <c r="N164" s="118"/>
    </row>
    <row r="165">
      <c r="A165" s="206">
        <v>164.0</v>
      </c>
      <c r="B165" s="26" t="s">
        <v>735</v>
      </c>
      <c r="C165" s="23"/>
      <c r="D165" s="23"/>
      <c r="E165" s="24" t="s">
        <v>414</v>
      </c>
      <c r="F165" s="24" t="s">
        <v>60</v>
      </c>
      <c r="G165" s="24" t="s">
        <v>37</v>
      </c>
      <c r="H165" s="22" t="b">
        <v>0</v>
      </c>
      <c r="I165" s="25">
        <v>1.9139915464E10</v>
      </c>
      <c r="J165" s="26" t="s">
        <v>736</v>
      </c>
      <c r="K165" s="26" t="s">
        <v>737</v>
      </c>
      <c r="L165" s="26" t="s">
        <v>402</v>
      </c>
      <c r="M165" s="79"/>
      <c r="N165" s="85"/>
    </row>
    <row r="166">
      <c r="A166" s="204">
        <v>165.0</v>
      </c>
      <c r="B166" s="15" t="s">
        <v>738</v>
      </c>
      <c r="C166" s="12"/>
      <c r="D166" s="12"/>
      <c r="E166" s="13" t="s">
        <v>414</v>
      </c>
      <c r="F166" s="13" t="s">
        <v>36</v>
      </c>
      <c r="G166" s="13" t="s">
        <v>53</v>
      </c>
      <c r="H166" s="10" t="b">
        <v>0</v>
      </c>
      <c r="I166" s="14">
        <v>1.5615455476E10</v>
      </c>
      <c r="J166" s="15" t="s">
        <v>739</v>
      </c>
      <c r="K166" s="15" t="s">
        <v>552</v>
      </c>
      <c r="L166" s="15" t="s">
        <v>40</v>
      </c>
      <c r="M166" s="82"/>
      <c r="N166" s="118"/>
    </row>
    <row r="167">
      <c r="A167" s="206">
        <v>166.0</v>
      </c>
      <c r="B167" s="26" t="s">
        <v>740</v>
      </c>
      <c r="C167" s="23"/>
      <c r="D167" s="23"/>
      <c r="E167" s="24" t="s">
        <v>414</v>
      </c>
      <c r="F167" s="24" t="s">
        <v>60</v>
      </c>
      <c r="G167" s="24" t="s">
        <v>37</v>
      </c>
      <c r="H167" s="22" t="b">
        <v>0</v>
      </c>
      <c r="I167" s="25">
        <v>1.9135142923E10</v>
      </c>
      <c r="J167" s="26" t="s">
        <v>741</v>
      </c>
      <c r="K167" s="26" t="s">
        <v>723</v>
      </c>
      <c r="L167" s="26" t="s">
        <v>402</v>
      </c>
      <c r="M167" s="79"/>
      <c r="N167" s="85"/>
    </row>
    <row r="168">
      <c r="A168" s="204">
        <v>167.0</v>
      </c>
      <c r="B168" s="153" t="s">
        <v>742</v>
      </c>
      <c r="C168" s="12"/>
      <c r="D168" s="12"/>
      <c r="E168" s="13" t="s">
        <v>414</v>
      </c>
      <c r="F168" s="13" t="s">
        <v>36</v>
      </c>
      <c r="G168" s="13" t="s">
        <v>37</v>
      </c>
      <c r="H168" s="10" t="b">
        <v>0</v>
      </c>
      <c r="I168" s="14">
        <v>1.2018885364E10</v>
      </c>
      <c r="J168" s="15" t="s">
        <v>743</v>
      </c>
      <c r="K168" s="15" t="s">
        <v>588</v>
      </c>
      <c r="L168" s="15" t="s">
        <v>56</v>
      </c>
      <c r="M168" s="82"/>
      <c r="N168" s="118"/>
    </row>
    <row r="169">
      <c r="A169" s="206">
        <v>168.0</v>
      </c>
      <c r="B169" s="26" t="s">
        <v>744</v>
      </c>
      <c r="C169" s="23"/>
      <c r="D169" s="23"/>
      <c r="E169" s="24" t="s">
        <v>414</v>
      </c>
      <c r="F169" s="24" t="s">
        <v>36</v>
      </c>
      <c r="G169" s="24" t="s">
        <v>37</v>
      </c>
      <c r="H169" s="22" t="b">
        <v>0</v>
      </c>
      <c r="I169" s="25">
        <v>1.2152793798E10</v>
      </c>
      <c r="J169" s="26" t="s">
        <v>745</v>
      </c>
      <c r="K169" s="26" t="s">
        <v>746</v>
      </c>
      <c r="L169" s="26" t="s">
        <v>70</v>
      </c>
      <c r="M169" s="79"/>
      <c r="N169" s="85"/>
    </row>
    <row r="170">
      <c r="A170" s="204">
        <v>169.0</v>
      </c>
      <c r="B170" s="15" t="s">
        <v>747</v>
      </c>
      <c r="C170" s="12"/>
      <c r="D170" s="12"/>
      <c r="E170" s="13" t="s">
        <v>414</v>
      </c>
      <c r="F170" s="13" t="s">
        <v>60</v>
      </c>
      <c r="G170" s="13" t="s">
        <v>53</v>
      </c>
      <c r="H170" s="10" t="b">
        <v>1</v>
      </c>
      <c r="I170" s="14">
        <v>1.4694002838E10</v>
      </c>
      <c r="J170" s="15" t="s">
        <v>305</v>
      </c>
      <c r="K170" s="15" t="s">
        <v>115</v>
      </c>
      <c r="L170" s="15" t="s">
        <v>63</v>
      </c>
      <c r="M170" s="82"/>
      <c r="N170" s="118"/>
    </row>
    <row r="171">
      <c r="A171" s="206">
        <v>170.0</v>
      </c>
      <c r="B171" s="26" t="s">
        <v>748</v>
      </c>
      <c r="C171" s="23"/>
      <c r="D171" s="23"/>
      <c r="E171" s="24" t="s">
        <v>414</v>
      </c>
      <c r="F171" s="24" t="s">
        <v>60</v>
      </c>
      <c r="G171" s="24" t="s">
        <v>37</v>
      </c>
      <c r="H171" s="22" t="b">
        <v>0</v>
      </c>
      <c r="I171" s="25">
        <v>1.2012209998E10</v>
      </c>
      <c r="J171" s="26" t="s">
        <v>749</v>
      </c>
      <c r="K171" s="26" t="s">
        <v>588</v>
      </c>
      <c r="L171" s="26" t="s">
        <v>56</v>
      </c>
      <c r="M171" s="79"/>
      <c r="N171" s="85"/>
    </row>
    <row r="172">
      <c r="A172" s="204">
        <v>171.0</v>
      </c>
      <c r="B172" s="15" t="s">
        <v>750</v>
      </c>
      <c r="C172" s="12"/>
      <c r="D172" s="12"/>
      <c r="E172" s="13" t="s">
        <v>414</v>
      </c>
      <c r="F172" s="13" t="s">
        <v>60</v>
      </c>
      <c r="G172" s="13" t="s">
        <v>37</v>
      </c>
      <c r="H172" s="10" t="b">
        <v>0</v>
      </c>
      <c r="I172" s="14">
        <v>1.917359771E10</v>
      </c>
      <c r="J172" s="15" t="s">
        <v>751</v>
      </c>
      <c r="K172" s="15" t="s">
        <v>363</v>
      </c>
      <c r="L172" s="15" t="s">
        <v>77</v>
      </c>
      <c r="M172" s="82"/>
      <c r="N172" s="118"/>
    </row>
    <row r="173">
      <c r="A173" s="206">
        <v>172.0</v>
      </c>
      <c r="B173" s="130" t="s">
        <v>752</v>
      </c>
      <c r="C173" s="23"/>
      <c r="D173" s="23"/>
      <c r="E173" s="24" t="s">
        <v>414</v>
      </c>
      <c r="F173" s="24" t="s">
        <v>60</v>
      </c>
      <c r="G173" s="24" t="s">
        <v>37</v>
      </c>
      <c r="H173" s="22" t="b">
        <v>0</v>
      </c>
      <c r="I173" s="25">
        <v>1.8456410262E10</v>
      </c>
      <c r="J173" s="26" t="s">
        <v>753</v>
      </c>
      <c r="K173" s="26" t="s">
        <v>661</v>
      </c>
      <c r="L173" s="26" t="s">
        <v>63</v>
      </c>
      <c r="M173" s="79"/>
      <c r="N173" s="85"/>
    </row>
    <row r="174">
      <c r="A174" s="204">
        <v>173.0</v>
      </c>
      <c r="B174" s="15" t="s">
        <v>754</v>
      </c>
      <c r="C174" s="12"/>
      <c r="D174" s="12"/>
      <c r="E174" s="13" t="s">
        <v>414</v>
      </c>
      <c r="F174" s="13" t="s">
        <v>36</v>
      </c>
      <c r="G174" s="13" t="s">
        <v>53</v>
      </c>
      <c r="H174" s="10" t="b">
        <v>0</v>
      </c>
      <c r="I174" s="14">
        <v>1.2019811207E10</v>
      </c>
      <c r="J174" s="15" t="s">
        <v>755</v>
      </c>
      <c r="K174" s="15" t="s">
        <v>588</v>
      </c>
      <c r="L174" s="15" t="s">
        <v>56</v>
      </c>
      <c r="M174" s="82"/>
      <c r="N174" s="118"/>
    </row>
    <row r="175">
      <c r="A175" s="206">
        <v>174.0</v>
      </c>
      <c r="B175" s="26" t="s">
        <v>756</v>
      </c>
      <c r="C175" s="23"/>
      <c r="D175" s="23"/>
      <c r="E175" s="24" t="s">
        <v>414</v>
      </c>
      <c r="F175" s="24" t="s">
        <v>60</v>
      </c>
      <c r="G175" s="24" t="s">
        <v>37</v>
      </c>
      <c r="H175" s="22" t="b">
        <v>1</v>
      </c>
      <c r="I175" s="25">
        <v>1.212203739E10</v>
      </c>
      <c r="J175" s="26" t="s">
        <v>757</v>
      </c>
      <c r="K175" s="26" t="s">
        <v>39</v>
      </c>
      <c r="L175" s="26" t="s">
        <v>40</v>
      </c>
      <c r="M175" s="79"/>
      <c r="N175" s="85"/>
    </row>
    <row r="176">
      <c r="A176" s="204">
        <v>175.0</v>
      </c>
      <c r="B176" s="15" t="s">
        <v>758</v>
      </c>
      <c r="C176" s="12"/>
      <c r="D176" s="12"/>
      <c r="E176" s="13" t="s">
        <v>414</v>
      </c>
      <c r="F176" s="13" t="s">
        <v>36</v>
      </c>
      <c r="G176" s="13" t="s">
        <v>37</v>
      </c>
      <c r="H176" s="10" t="b">
        <v>0</v>
      </c>
      <c r="I176" s="14">
        <v>1.5166804286E10</v>
      </c>
      <c r="J176" s="15" t="s">
        <v>759</v>
      </c>
      <c r="K176" s="15" t="s">
        <v>631</v>
      </c>
      <c r="L176" s="15" t="s">
        <v>40</v>
      </c>
      <c r="M176" s="82"/>
      <c r="N176" s="118"/>
    </row>
    <row r="177">
      <c r="A177" s="206">
        <v>176.0</v>
      </c>
      <c r="B177" s="26" t="s">
        <v>760</v>
      </c>
      <c r="C177" s="23"/>
      <c r="D177" s="23"/>
      <c r="E177" s="24" t="s">
        <v>414</v>
      </c>
      <c r="F177" s="24" t="s">
        <v>36</v>
      </c>
      <c r="G177" s="24" t="s">
        <v>37</v>
      </c>
      <c r="H177" s="22" t="b">
        <v>0</v>
      </c>
      <c r="I177" s="25">
        <v>1.305900761E10</v>
      </c>
      <c r="J177" s="26" t="s">
        <v>761</v>
      </c>
      <c r="K177" s="26" t="s">
        <v>762</v>
      </c>
      <c r="L177" s="26" t="s">
        <v>40</v>
      </c>
      <c r="M177" s="79"/>
      <c r="N177" s="85"/>
    </row>
    <row r="178">
      <c r="A178" s="204">
        <v>177.0</v>
      </c>
      <c r="B178" s="153" t="s">
        <v>763</v>
      </c>
      <c r="C178" s="12"/>
      <c r="D178" s="12"/>
      <c r="E178" s="13" t="s">
        <v>414</v>
      </c>
      <c r="F178" s="13" t="s">
        <v>36</v>
      </c>
      <c r="G178" s="13" t="s">
        <v>53</v>
      </c>
      <c r="H178" s="10" t="b">
        <v>0</v>
      </c>
      <c r="I178" s="14">
        <v>1.2153473218E10</v>
      </c>
      <c r="J178" s="15" t="s">
        <v>764</v>
      </c>
      <c r="K178" s="15" t="s">
        <v>765</v>
      </c>
      <c r="L178" s="15" t="s">
        <v>70</v>
      </c>
      <c r="M178" s="82"/>
      <c r="N178" s="118"/>
    </row>
    <row r="179">
      <c r="A179" s="206">
        <v>178.0</v>
      </c>
      <c r="B179" s="26" t="s">
        <v>766</v>
      </c>
      <c r="C179" s="23"/>
      <c r="D179" s="23"/>
      <c r="E179" s="24" t="s">
        <v>414</v>
      </c>
      <c r="F179" s="24" t="s">
        <v>60</v>
      </c>
      <c r="G179" s="24" t="s">
        <v>37</v>
      </c>
      <c r="H179" s="22" t="b">
        <v>0</v>
      </c>
      <c r="I179" s="25">
        <v>1.3058070004E10</v>
      </c>
      <c r="J179" s="26" t="s">
        <v>767</v>
      </c>
      <c r="K179" s="26" t="s">
        <v>340</v>
      </c>
      <c r="L179" s="26" t="s">
        <v>40</v>
      </c>
      <c r="M179" s="79"/>
      <c r="N179" s="85"/>
    </row>
    <row r="180">
      <c r="A180" s="204">
        <v>179.0</v>
      </c>
      <c r="B180" s="15" t="s">
        <v>768</v>
      </c>
      <c r="C180" s="12"/>
      <c r="D180" s="12"/>
      <c r="E180" s="13" t="s">
        <v>414</v>
      </c>
      <c r="F180" s="13" t="s">
        <v>60</v>
      </c>
      <c r="G180" s="13" t="s">
        <v>37</v>
      </c>
      <c r="H180" s="10" t="b">
        <v>0</v>
      </c>
      <c r="I180" s="14">
        <v>1.6316647955E10</v>
      </c>
      <c r="J180" s="15" t="s">
        <v>769</v>
      </c>
      <c r="K180" s="15" t="s">
        <v>770</v>
      </c>
      <c r="L180" s="15" t="s">
        <v>77</v>
      </c>
      <c r="M180" s="82"/>
      <c r="N180" s="118"/>
    </row>
    <row r="181">
      <c r="A181" s="206">
        <v>180.0</v>
      </c>
      <c r="B181" s="26" t="s">
        <v>153</v>
      </c>
      <c r="C181" s="23"/>
      <c r="D181" s="23"/>
      <c r="E181" s="24" t="s">
        <v>414</v>
      </c>
      <c r="F181" s="24" t="s">
        <v>36</v>
      </c>
      <c r="G181" s="24" t="s">
        <v>37</v>
      </c>
      <c r="H181" s="22" t="b">
        <v>0</v>
      </c>
      <c r="I181" s="25">
        <v>1.201532475E10</v>
      </c>
      <c r="J181" s="26" t="s">
        <v>154</v>
      </c>
      <c r="K181" s="26" t="s">
        <v>150</v>
      </c>
      <c r="L181" s="26" t="s">
        <v>56</v>
      </c>
      <c r="M181" s="79"/>
      <c r="N181" s="85"/>
    </row>
    <row r="182">
      <c r="A182" s="204">
        <v>181.0</v>
      </c>
      <c r="B182" s="15" t="s">
        <v>771</v>
      </c>
      <c r="C182" s="12"/>
      <c r="D182" s="12"/>
      <c r="E182" s="13" t="s">
        <v>414</v>
      </c>
      <c r="F182" s="13" t="s">
        <v>36</v>
      </c>
      <c r="G182" s="13" t="s">
        <v>53</v>
      </c>
      <c r="H182" s="10" t="b">
        <v>1</v>
      </c>
      <c r="I182" s="14">
        <v>1.2032068666E10</v>
      </c>
      <c r="J182" s="15" t="s">
        <v>258</v>
      </c>
      <c r="K182" s="15" t="s">
        <v>83</v>
      </c>
      <c r="L182" s="15" t="s">
        <v>84</v>
      </c>
      <c r="M182" s="82"/>
      <c r="N182" s="118"/>
    </row>
    <row r="183">
      <c r="A183" s="206">
        <v>182.0</v>
      </c>
      <c r="B183" s="130" t="s">
        <v>148</v>
      </c>
      <c r="C183" s="23"/>
      <c r="D183" s="23"/>
      <c r="E183" s="24" t="s">
        <v>414</v>
      </c>
      <c r="F183" s="24" t="s">
        <v>60</v>
      </c>
      <c r="G183" s="24" t="s">
        <v>37</v>
      </c>
      <c r="H183" s="22" t="b">
        <v>0</v>
      </c>
      <c r="I183" s="25">
        <v>1.9738652446E10</v>
      </c>
      <c r="J183" s="26" t="s">
        <v>149</v>
      </c>
      <c r="K183" s="26" t="s">
        <v>150</v>
      </c>
      <c r="L183" s="26" t="s">
        <v>56</v>
      </c>
      <c r="M183" s="79"/>
      <c r="N183" s="85"/>
    </row>
    <row r="184">
      <c r="A184" s="204">
        <v>183.0</v>
      </c>
      <c r="B184" s="15" t="s">
        <v>772</v>
      </c>
      <c r="C184" s="12"/>
      <c r="D184" s="12"/>
      <c r="E184" s="13" t="s">
        <v>414</v>
      </c>
      <c r="F184" s="13" t="s">
        <v>36</v>
      </c>
      <c r="G184" s="13" t="s">
        <v>37</v>
      </c>
      <c r="H184" s="10" t="b">
        <v>0</v>
      </c>
      <c r="I184" s="14">
        <v>1.7739545712E10</v>
      </c>
      <c r="J184" s="15" t="s">
        <v>773</v>
      </c>
      <c r="K184" s="15" t="s">
        <v>575</v>
      </c>
      <c r="L184" s="15" t="s">
        <v>314</v>
      </c>
      <c r="M184" s="82"/>
      <c r="N184" s="118"/>
    </row>
    <row r="185">
      <c r="A185" s="206">
        <v>184.0</v>
      </c>
      <c r="B185" s="26" t="s">
        <v>774</v>
      </c>
      <c r="C185" s="23"/>
      <c r="D185" s="23"/>
      <c r="E185" s="24" t="s">
        <v>414</v>
      </c>
      <c r="F185" s="24" t="s">
        <v>60</v>
      </c>
      <c r="G185" s="24" t="s">
        <v>37</v>
      </c>
      <c r="H185" s="22" t="b">
        <v>0</v>
      </c>
      <c r="I185" s="25">
        <v>1.9737363655E10</v>
      </c>
      <c r="J185" s="26" t="s">
        <v>775</v>
      </c>
      <c r="K185" s="26" t="s">
        <v>150</v>
      </c>
      <c r="L185" s="26" t="s">
        <v>56</v>
      </c>
      <c r="M185" s="79"/>
      <c r="N185" s="85"/>
    </row>
    <row r="186">
      <c r="A186" s="204">
        <v>185.0</v>
      </c>
      <c r="B186" s="15" t="s">
        <v>776</v>
      </c>
      <c r="C186" s="12"/>
      <c r="D186" s="12"/>
      <c r="E186" s="13" t="s">
        <v>414</v>
      </c>
      <c r="F186" s="13" t="s">
        <v>60</v>
      </c>
      <c r="G186" s="13" t="s">
        <v>37</v>
      </c>
      <c r="H186" s="10" t="b">
        <v>1</v>
      </c>
      <c r="I186" s="14">
        <v>1.9807212653E10</v>
      </c>
      <c r="J186" s="15" t="s">
        <v>777</v>
      </c>
      <c r="K186" s="15" t="s">
        <v>778</v>
      </c>
      <c r="L186" s="15" t="s">
        <v>56</v>
      </c>
      <c r="M186" s="82"/>
      <c r="N186" s="118"/>
    </row>
    <row r="187">
      <c r="A187" s="206">
        <v>186.0</v>
      </c>
      <c r="B187" s="26" t="s">
        <v>779</v>
      </c>
      <c r="C187" s="23"/>
      <c r="D187" s="23"/>
      <c r="E187" s="24" t="s">
        <v>414</v>
      </c>
      <c r="F187" s="24" t="s">
        <v>36</v>
      </c>
      <c r="G187" s="24" t="s">
        <v>37</v>
      </c>
      <c r="H187" s="22" t="b">
        <v>0</v>
      </c>
      <c r="I187" s="25">
        <v>1.9176133819E10</v>
      </c>
      <c r="J187" s="26" t="s">
        <v>780</v>
      </c>
      <c r="K187" s="26" t="s">
        <v>286</v>
      </c>
      <c r="L187" s="26" t="s">
        <v>40</v>
      </c>
      <c r="M187" s="79"/>
      <c r="N187" s="85"/>
    </row>
    <row r="188">
      <c r="A188" s="204">
        <v>187.0</v>
      </c>
      <c r="B188" s="153" t="s">
        <v>781</v>
      </c>
      <c r="C188" s="12"/>
      <c r="D188" s="12"/>
      <c r="E188" s="13" t="s">
        <v>414</v>
      </c>
      <c r="F188" s="13" t="s">
        <v>36</v>
      </c>
      <c r="G188" s="13" t="s">
        <v>37</v>
      </c>
      <c r="H188" s="10" t="b">
        <v>0</v>
      </c>
      <c r="I188" s="14">
        <v>1.3016740456E10</v>
      </c>
      <c r="J188" s="15" t="s">
        <v>782</v>
      </c>
      <c r="K188" s="15" t="s">
        <v>504</v>
      </c>
      <c r="L188" s="15" t="s">
        <v>505</v>
      </c>
      <c r="M188" s="82"/>
      <c r="N188" s="118"/>
    </row>
    <row r="189">
      <c r="A189" s="206">
        <v>188.0</v>
      </c>
      <c r="B189" s="26" t="s">
        <v>783</v>
      </c>
      <c r="C189" s="23"/>
      <c r="D189" s="23"/>
      <c r="E189" s="24" t="s">
        <v>414</v>
      </c>
      <c r="F189" s="24" t="s">
        <v>60</v>
      </c>
      <c r="G189" s="24" t="s">
        <v>37</v>
      </c>
      <c r="H189" s="22" t="b">
        <v>0</v>
      </c>
      <c r="I189" s="25">
        <v>1.9543475611E10</v>
      </c>
      <c r="J189" s="26" t="s">
        <v>784</v>
      </c>
      <c r="K189" s="26" t="s">
        <v>785</v>
      </c>
      <c r="L189" s="26" t="s">
        <v>40</v>
      </c>
      <c r="M189" s="79"/>
      <c r="N189" s="85"/>
    </row>
    <row r="190">
      <c r="A190" s="204">
        <v>189.0</v>
      </c>
      <c r="B190" s="15" t="s">
        <v>786</v>
      </c>
      <c r="C190" s="12"/>
      <c r="D190" s="12"/>
      <c r="E190" s="13" t="s">
        <v>414</v>
      </c>
      <c r="F190" s="13" t="s">
        <v>60</v>
      </c>
      <c r="G190" s="13" t="s">
        <v>53</v>
      </c>
      <c r="H190" s="10" t="b">
        <v>0</v>
      </c>
      <c r="I190" s="14">
        <v>1.6319743491E10</v>
      </c>
      <c r="J190" s="15" t="s">
        <v>787</v>
      </c>
      <c r="K190" s="15" t="s">
        <v>208</v>
      </c>
      <c r="L190" s="15" t="s">
        <v>77</v>
      </c>
      <c r="M190" s="82"/>
      <c r="N190" s="118"/>
    </row>
    <row r="191">
      <c r="A191" s="206">
        <v>190.0</v>
      </c>
      <c r="B191" s="26" t="s">
        <v>358</v>
      </c>
      <c r="C191" s="23"/>
      <c r="D191" s="23"/>
      <c r="E191" s="24" t="s">
        <v>414</v>
      </c>
      <c r="F191" s="24" t="s">
        <v>36</v>
      </c>
      <c r="G191" s="24" t="s">
        <v>37</v>
      </c>
      <c r="H191" s="22" t="b">
        <v>0</v>
      </c>
      <c r="I191" s="25">
        <v>1.2032233407E10</v>
      </c>
      <c r="J191" s="26" t="s">
        <v>359</v>
      </c>
      <c r="K191" s="26" t="s">
        <v>360</v>
      </c>
      <c r="L191" s="26" t="s">
        <v>40</v>
      </c>
      <c r="M191" s="79"/>
      <c r="N191" s="85"/>
    </row>
    <row r="192">
      <c r="A192" s="204">
        <v>191.0</v>
      </c>
      <c r="B192" s="15" t="s">
        <v>788</v>
      </c>
      <c r="C192" s="12"/>
      <c r="D192" s="12"/>
      <c r="E192" s="13" t="s">
        <v>414</v>
      </c>
      <c r="F192" s="13" t="s">
        <v>60</v>
      </c>
      <c r="G192" s="13" t="s">
        <v>37</v>
      </c>
      <c r="H192" s="10" t="b">
        <v>0</v>
      </c>
      <c r="I192" s="14">
        <v>1.9736329035E10</v>
      </c>
      <c r="J192" s="15" t="s">
        <v>789</v>
      </c>
      <c r="K192" s="15" t="s">
        <v>790</v>
      </c>
      <c r="L192" s="15" t="s">
        <v>56</v>
      </c>
      <c r="M192" s="82"/>
      <c r="N192" s="118"/>
    </row>
    <row r="193">
      <c r="A193" s="206">
        <v>192.0</v>
      </c>
      <c r="B193" s="130" t="s">
        <v>791</v>
      </c>
      <c r="C193" s="23"/>
      <c r="D193" s="23"/>
      <c r="E193" s="24" t="s">
        <v>414</v>
      </c>
      <c r="F193" s="24" t="s">
        <v>36</v>
      </c>
      <c r="G193" s="24" t="s">
        <v>37</v>
      </c>
      <c r="H193" s="22" t="b">
        <v>0</v>
      </c>
      <c r="I193" s="25">
        <v>1.561715649E10</v>
      </c>
      <c r="J193" s="26" t="s">
        <v>792</v>
      </c>
      <c r="K193" s="26" t="s">
        <v>83</v>
      </c>
      <c r="L193" s="26" t="s">
        <v>84</v>
      </c>
      <c r="M193" s="79"/>
      <c r="N193" s="85"/>
    </row>
    <row r="194">
      <c r="A194" s="204">
        <v>193.0</v>
      </c>
      <c r="B194" s="15" t="s">
        <v>793</v>
      </c>
      <c r="C194" s="12"/>
      <c r="D194" s="12"/>
      <c r="E194" s="13" t="s">
        <v>414</v>
      </c>
      <c r="F194" s="13" t="s">
        <v>60</v>
      </c>
      <c r="G194" s="13" t="s">
        <v>53</v>
      </c>
      <c r="H194" s="10" t="b">
        <v>1</v>
      </c>
      <c r="I194" s="14">
        <v>1.5164234298E10</v>
      </c>
      <c r="J194" s="15" t="s">
        <v>794</v>
      </c>
      <c r="K194" s="15" t="s">
        <v>795</v>
      </c>
      <c r="L194" s="15" t="s">
        <v>77</v>
      </c>
      <c r="M194" s="82"/>
      <c r="N194" s="118"/>
    </row>
    <row r="195">
      <c r="A195" s="206">
        <v>194.0</v>
      </c>
      <c r="B195" s="26" t="s">
        <v>796</v>
      </c>
      <c r="C195" s="23"/>
      <c r="D195" s="23"/>
      <c r="E195" s="24" t="s">
        <v>414</v>
      </c>
      <c r="F195" s="24" t="s">
        <v>36</v>
      </c>
      <c r="G195" s="24" t="s">
        <v>37</v>
      </c>
      <c r="H195" s="22" t="b">
        <v>0</v>
      </c>
      <c r="I195" s="25">
        <v>1.2017835089E10</v>
      </c>
      <c r="J195" s="26" t="s">
        <v>797</v>
      </c>
      <c r="K195" s="26" t="s">
        <v>798</v>
      </c>
      <c r="L195" s="26" t="s">
        <v>56</v>
      </c>
      <c r="M195" s="79"/>
      <c r="N195" s="85"/>
    </row>
    <row r="196">
      <c r="A196" s="204">
        <v>195.0</v>
      </c>
      <c r="B196" s="15" t="s">
        <v>799</v>
      </c>
      <c r="C196" s="12"/>
      <c r="D196" s="12"/>
      <c r="E196" s="13" t="s">
        <v>414</v>
      </c>
      <c r="F196" s="13" t="s">
        <v>60</v>
      </c>
      <c r="G196" s="13" t="s">
        <v>37</v>
      </c>
      <c r="H196" s="10" t="b">
        <v>0</v>
      </c>
      <c r="I196" s="14">
        <v>1.91762005E10</v>
      </c>
      <c r="J196" s="15" t="s">
        <v>800</v>
      </c>
      <c r="K196" s="15" t="s">
        <v>801</v>
      </c>
      <c r="L196" s="15" t="s">
        <v>77</v>
      </c>
      <c r="M196" s="82"/>
      <c r="N196" s="118"/>
    </row>
    <row r="197">
      <c r="A197" s="206">
        <v>196.0</v>
      </c>
      <c r="B197" s="26" t="s">
        <v>802</v>
      </c>
      <c r="C197" s="23"/>
      <c r="D197" s="23"/>
      <c r="E197" s="24" t="s">
        <v>414</v>
      </c>
      <c r="F197" s="24" t="s">
        <v>60</v>
      </c>
      <c r="G197" s="24" t="s">
        <v>37</v>
      </c>
      <c r="H197" s="22" t="b">
        <v>0</v>
      </c>
      <c r="I197" s="25">
        <v>1.424653065E10</v>
      </c>
      <c r="J197" s="26" t="s">
        <v>803</v>
      </c>
      <c r="K197" s="26" t="s">
        <v>575</v>
      </c>
      <c r="L197" s="26" t="s">
        <v>314</v>
      </c>
      <c r="M197" s="79"/>
      <c r="N197" s="85"/>
    </row>
    <row r="198">
      <c r="A198" s="204">
        <v>197.0</v>
      </c>
      <c r="B198" s="153" t="s">
        <v>804</v>
      </c>
      <c r="C198" s="12"/>
      <c r="D198" s="12"/>
      <c r="E198" s="13" t="s">
        <v>414</v>
      </c>
      <c r="F198" s="13" t="s">
        <v>60</v>
      </c>
      <c r="G198" s="13" t="s">
        <v>53</v>
      </c>
      <c r="H198" s="10" t="b">
        <v>1</v>
      </c>
      <c r="I198" s="14">
        <v>1.2124706888E10</v>
      </c>
      <c r="J198" s="15" t="s">
        <v>805</v>
      </c>
      <c r="K198" s="15" t="s">
        <v>494</v>
      </c>
      <c r="L198" s="15" t="s">
        <v>77</v>
      </c>
      <c r="M198" s="82"/>
      <c r="N198" s="118"/>
    </row>
    <row r="199">
      <c r="A199" s="206">
        <v>198.0</v>
      </c>
      <c r="B199" s="26" t="s">
        <v>806</v>
      </c>
      <c r="C199" s="23"/>
      <c r="D199" s="23"/>
      <c r="E199" s="24" t="s">
        <v>414</v>
      </c>
      <c r="F199" s="24" t="s">
        <v>60</v>
      </c>
      <c r="G199" s="24" t="s">
        <v>37</v>
      </c>
      <c r="H199" s="22" t="b">
        <v>0</v>
      </c>
      <c r="I199" s="25">
        <v>1.6178690299E10</v>
      </c>
      <c r="J199" s="26" t="s">
        <v>807</v>
      </c>
      <c r="K199" s="26" t="s">
        <v>808</v>
      </c>
      <c r="L199" s="26" t="s">
        <v>301</v>
      </c>
      <c r="M199" s="79"/>
      <c r="N199" s="85"/>
    </row>
    <row r="200">
      <c r="A200" s="204">
        <v>199.0</v>
      </c>
      <c r="B200" s="15" t="s">
        <v>809</v>
      </c>
      <c r="C200" s="12"/>
      <c r="D200" s="12"/>
      <c r="E200" s="13" t="s">
        <v>414</v>
      </c>
      <c r="F200" s="13" t="s">
        <v>36</v>
      </c>
      <c r="G200" s="13" t="s">
        <v>37</v>
      </c>
      <c r="H200" s="10" t="b">
        <v>0</v>
      </c>
      <c r="I200" s="14">
        <v>1.9176565822E10</v>
      </c>
      <c r="J200" s="15" t="s">
        <v>810</v>
      </c>
      <c r="K200" s="15" t="s">
        <v>552</v>
      </c>
      <c r="L200" s="15" t="s">
        <v>40</v>
      </c>
      <c r="M200" s="82"/>
      <c r="N200" s="118"/>
    </row>
    <row r="201">
      <c r="A201" s="206">
        <v>200.0</v>
      </c>
      <c r="B201" s="26" t="s">
        <v>811</v>
      </c>
      <c r="C201" s="23"/>
      <c r="D201" s="23"/>
      <c r="E201" s="24" t="s">
        <v>414</v>
      </c>
      <c r="F201" s="24" t="s">
        <v>36</v>
      </c>
      <c r="G201" s="24" t="s">
        <v>37</v>
      </c>
      <c r="H201" s="22" t="b">
        <v>0</v>
      </c>
      <c r="I201" s="25">
        <v>1.6146074438E10</v>
      </c>
      <c r="J201" s="26" t="s">
        <v>812</v>
      </c>
      <c r="K201" s="26" t="s">
        <v>139</v>
      </c>
      <c r="L201" s="26" t="s">
        <v>109</v>
      </c>
      <c r="M201" s="79"/>
      <c r="N201" s="85"/>
    </row>
    <row r="202">
      <c r="A202" s="204">
        <v>201.0</v>
      </c>
      <c r="B202" s="15" t="s">
        <v>813</v>
      </c>
      <c r="C202" s="12"/>
      <c r="D202" s="12"/>
      <c r="E202" s="13" t="s">
        <v>414</v>
      </c>
      <c r="F202" s="13" t="s">
        <v>60</v>
      </c>
      <c r="G202" s="13" t="s">
        <v>53</v>
      </c>
      <c r="H202" s="10" t="b">
        <v>1</v>
      </c>
      <c r="I202" s="14">
        <v>1.8046880692E10</v>
      </c>
      <c r="J202" s="15" t="s">
        <v>814</v>
      </c>
      <c r="K202" s="15" t="s">
        <v>815</v>
      </c>
      <c r="L202" s="15" t="s">
        <v>77</v>
      </c>
      <c r="M202" s="82"/>
      <c r="N202" s="118"/>
    </row>
    <row r="203">
      <c r="A203" s="206">
        <v>202.0</v>
      </c>
      <c r="B203" s="130" t="s">
        <v>816</v>
      </c>
      <c r="C203" s="23"/>
      <c r="D203" s="23"/>
      <c r="E203" s="24" t="s">
        <v>414</v>
      </c>
      <c r="F203" s="24" t="s">
        <v>60</v>
      </c>
      <c r="G203" s="24" t="s">
        <v>37</v>
      </c>
      <c r="H203" s="22" t="b">
        <v>0</v>
      </c>
      <c r="I203" s="25">
        <v>1.9176907802E10</v>
      </c>
      <c r="J203" s="26" t="s">
        <v>817</v>
      </c>
      <c r="K203" s="26" t="s">
        <v>390</v>
      </c>
      <c r="L203" s="26" t="s">
        <v>56</v>
      </c>
      <c r="M203" s="79"/>
      <c r="N203" s="85"/>
    </row>
    <row r="204">
      <c r="A204" s="204">
        <v>203.0</v>
      </c>
      <c r="B204" s="15" t="s">
        <v>818</v>
      </c>
      <c r="C204" s="12"/>
      <c r="D204" s="12"/>
      <c r="E204" s="13" t="s">
        <v>414</v>
      </c>
      <c r="F204" s="13" t="s">
        <v>36</v>
      </c>
      <c r="G204" s="13" t="s">
        <v>37</v>
      </c>
      <c r="H204" s="10" t="b">
        <v>0</v>
      </c>
      <c r="I204" s="14">
        <v>1.8475424219E10</v>
      </c>
      <c r="J204" s="15" t="s">
        <v>819</v>
      </c>
      <c r="K204" s="15" t="s">
        <v>785</v>
      </c>
      <c r="L204" s="15" t="s">
        <v>40</v>
      </c>
      <c r="M204" s="82"/>
      <c r="N204" s="118"/>
    </row>
    <row r="205">
      <c r="A205" s="206">
        <v>204.0</v>
      </c>
      <c r="B205" s="26" t="s">
        <v>820</v>
      </c>
      <c r="C205" s="23"/>
      <c r="D205" s="23"/>
      <c r="E205" s="24" t="s">
        <v>414</v>
      </c>
      <c r="F205" s="24" t="s">
        <v>36</v>
      </c>
      <c r="G205" s="24" t="s">
        <v>37</v>
      </c>
      <c r="H205" s="22" t="b">
        <v>0</v>
      </c>
      <c r="I205" s="25">
        <v>1.8189431264E10</v>
      </c>
      <c r="J205" s="26" t="s">
        <v>821</v>
      </c>
      <c r="K205" s="26" t="s">
        <v>822</v>
      </c>
      <c r="L205" s="26" t="s">
        <v>194</v>
      </c>
      <c r="M205" s="79"/>
      <c r="N205" s="85"/>
    </row>
    <row r="206">
      <c r="A206" s="204">
        <v>205.0</v>
      </c>
      <c r="B206" s="15" t="s">
        <v>823</v>
      </c>
      <c r="C206" s="12"/>
      <c r="D206" s="12"/>
      <c r="E206" s="13" t="s">
        <v>414</v>
      </c>
      <c r="F206" s="13" t="s">
        <v>60</v>
      </c>
      <c r="G206" s="13" t="s">
        <v>53</v>
      </c>
      <c r="H206" s="10" t="b">
        <v>1</v>
      </c>
      <c r="I206" s="14">
        <v>1.9144940092E10</v>
      </c>
      <c r="J206" s="15" t="s">
        <v>824</v>
      </c>
      <c r="K206" s="15" t="s">
        <v>825</v>
      </c>
      <c r="L206" s="15" t="s">
        <v>314</v>
      </c>
      <c r="M206" s="82"/>
      <c r="N206" s="118"/>
    </row>
    <row r="207">
      <c r="A207" s="206">
        <v>206.0</v>
      </c>
      <c r="B207" s="26" t="s">
        <v>826</v>
      </c>
      <c r="C207" s="23"/>
      <c r="D207" s="23"/>
      <c r="E207" s="24" t="s">
        <v>414</v>
      </c>
      <c r="F207" s="24" t="s">
        <v>60</v>
      </c>
      <c r="G207" s="24" t="s">
        <v>37</v>
      </c>
      <c r="H207" s="22" t="b">
        <v>0</v>
      </c>
      <c r="I207" s="25">
        <v>1.9172739055E10</v>
      </c>
      <c r="J207" s="26" t="s">
        <v>827</v>
      </c>
      <c r="K207" s="26" t="s">
        <v>89</v>
      </c>
      <c r="L207" s="26" t="s">
        <v>77</v>
      </c>
      <c r="M207" s="79"/>
      <c r="N207" s="85"/>
    </row>
    <row r="208">
      <c r="A208" s="204">
        <v>207.0</v>
      </c>
      <c r="B208" s="153" t="s">
        <v>828</v>
      </c>
      <c r="C208" s="12"/>
      <c r="D208" s="12"/>
      <c r="E208" s="13" t="s">
        <v>414</v>
      </c>
      <c r="F208" s="13" t="s">
        <v>36</v>
      </c>
      <c r="G208" s="13" t="s">
        <v>37</v>
      </c>
      <c r="H208" s="10" t="b">
        <v>0</v>
      </c>
      <c r="I208" s="14">
        <v>1.2672308824E10</v>
      </c>
      <c r="J208" s="15" t="s">
        <v>829</v>
      </c>
      <c r="K208" s="15" t="s">
        <v>746</v>
      </c>
      <c r="L208" s="15" t="s">
        <v>70</v>
      </c>
      <c r="M208" s="82"/>
      <c r="N208" s="118"/>
    </row>
    <row r="209">
      <c r="A209" s="206">
        <v>208.0</v>
      </c>
      <c r="B209" s="26" t="s">
        <v>830</v>
      </c>
      <c r="C209" s="23"/>
      <c r="D209" s="23"/>
      <c r="E209" s="24" t="s">
        <v>414</v>
      </c>
      <c r="F209" s="24" t="s">
        <v>60</v>
      </c>
      <c r="G209" s="24" t="s">
        <v>37</v>
      </c>
      <c r="H209" s="22" t="b">
        <v>0</v>
      </c>
      <c r="I209" s="25">
        <v>1.81851782E10</v>
      </c>
      <c r="J209" s="26" t="s">
        <v>831</v>
      </c>
      <c r="K209" s="26" t="s">
        <v>832</v>
      </c>
      <c r="L209" s="26" t="s">
        <v>198</v>
      </c>
      <c r="M209" s="79"/>
      <c r="N209" s="85"/>
    </row>
    <row r="210">
      <c r="A210" s="204">
        <v>209.0</v>
      </c>
      <c r="B210" s="15" t="s">
        <v>833</v>
      </c>
      <c r="C210" s="12"/>
      <c r="D210" s="12"/>
      <c r="E210" s="13" t="s">
        <v>414</v>
      </c>
      <c r="F210" s="13" t="s">
        <v>36</v>
      </c>
      <c r="G210" s="13" t="s">
        <v>53</v>
      </c>
      <c r="H210" s="10" t="b">
        <v>1</v>
      </c>
      <c r="I210" s="14">
        <v>1.9729227231E10</v>
      </c>
      <c r="J210" s="15" t="s">
        <v>222</v>
      </c>
      <c r="K210" s="15" t="s">
        <v>115</v>
      </c>
      <c r="L210" s="15" t="s">
        <v>63</v>
      </c>
      <c r="M210" s="82"/>
      <c r="N210" s="118"/>
    </row>
    <row r="211">
      <c r="A211" s="206">
        <v>210.0</v>
      </c>
      <c r="B211" s="26" t="s">
        <v>834</v>
      </c>
      <c r="C211" s="23"/>
      <c r="D211" s="23"/>
      <c r="E211" s="24" t="s">
        <v>414</v>
      </c>
      <c r="F211" s="24" t="s">
        <v>36</v>
      </c>
      <c r="G211" s="24" t="s">
        <v>37</v>
      </c>
      <c r="H211" s="22" t="b">
        <v>0</v>
      </c>
      <c r="I211" s="25">
        <v>1.3236916954E10</v>
      </c>
      <c r="J211" s="26" t="s">
        <v>835</v>
      </c>
      <c r="K211" s="26" t="s">
        <v>233</v>
      </c>
      <c r="L211" s="26" t="s">
        <v>194</v>
      </c>
      <c r="M211" s="79"/>
      <c r="N211" s="85"/>
    </row>
    <row r="212">
      <c r="A212" s="204">
        <v>211.0</v>
      </c>
      <c r="B212" s="15" t="s">
        <v>836</v>
      </c>
      <c r="C212" s="12"/>
      <c r="D212" s="12"/>
      <c r="E212" s="13" t="s">
        <v>414</v>
      </c>
      <c r="F212" s="13" t="s">
        <v>36</v>
      </c>
      <c r="G212" s="13" t="s">
        <v>37</v>
      </c>
      <c r="H212" s="10" t="b">
        <v>0</v>
      </c>
      <c r="I212" s="14">
        <v>1.8188606104E10</v>
      </c>
      <c r="J212" s="15" t="s">
        <v>837</v>
      </c>
      <c r="K212" s="15" t="s">
        <v>838</v>
      </c>
      <c r="L212" s="15" t="s">
        <v>194</v>
      </c>
      <c r="M212" s="82"/>
      <c r="N212" s="118"/>
    </row>
    <row r="213">
      <c r="A213" s="206">
        <v>212.0</v>
      </c>
      <c r="B213" s="130" t="s">
        <v>839</v>
      </c>
      <c r="C213" s="23"/>
      <c r="D213" s="23"/>
      <c r="E213" s="24" t="s">
        <v>414</v>
      </c>
      <c r="F213" s="24" t="s">
        <v>36</v>
      </c>
      <c r="G213" s="24" t="s">
        <v>37</v>
      </c>
      <c r="H213" s="22" t="b">
        <v>0</v>
      </c>
      <c r="I213" s="25">
        <v>1.7868650345E10</v>
      </c>
      <c r="J213" s="26" t="s">
        <v>840</v>
      </c>
      <c r="K213" s="26" t="s">
        <v>762</v>
      </c>
      <c r="L213" s="26" t="s">
        <v>40</v>
      </c>
      <c r="M213" s="79"/>
      <c r="N213" s="85"/>
    </row>
    <row r="214">
      <c r="A214" s="204">
        <v>213.0</v>
      </c>
      <c r="B214" s="15" t="s">
        <v>841</v>
      </c>
      <c r="C214" s="12"/>
      <c r="D214" s="12"/>
      <c r="E214" s="13" t="s">
        <v>414</v>
      </c>
      <c r="F214" s="13" t="s">
        <v>36</v>
      </c>
      <c r="G214" s="13" t="s">
        <v>53</v>
      </c>
      <c r="H214" s="10" t="b">
        <v>1</v>
      </c>
      <c r="I214" s="14">
        <v>1.2033628799E10</v>
      </c>
      <c r="J214" s="15" t="s">
        <v>842</v>
      </c>
      <c r="K214" s="15" t="s">
        <v>843</v>
      </c>
      <c r="L214" s="15" t="s">
        <v>844</v>
      </c>
      <c r="M214" s="82"/>
      <c r="N214" s="118"/>
    </row>
    <row r="215">
      <c r="A215" s="206">
        <v>214.0</v>
      </c>
      <c r="B215" s="26" t="s">
        <v>845</v>
      </c>
      <c r="C215" s="23"/>
      <c r="D215" s="23"/>
      <c r="E215" s="24" t="s">
        <v>414</v>
      </c>
      <c r="F215" s="24" t="s">
        <v>36</v>
      </c>
      <c r="G215" s="24" t="s">
        <v>37</v>
      </c>
      <c r="H215" s="22" t="b">
        <v>0</v>
      </c>
      <c r="I215" s="25">
        <v>1.2024418234E10</v>
      </c>
      <c r="J215" s="26" t="s">
        <v>846</v>
      </c>
      <c r="K215" s="26" t="s">
        <v>847</v>
      </c>
      <c r="L215" s="26" t="s">
        <v>56</v>
      </c>
      <c r="M215" s="79"/>
      <c r="N215" s="85"/>
    </row>
    <row r="216">
      <c r="A216" s="204">
        <v>215.0</v>
      </c>
      <c r="B216" s="15" t="s">
        <v>848</v>
      </c>
      <c r="C216" s="12"/>
      <c r="D216" s="12"/>
      <c r="E216" s="13" t="s">
        <v>414</v>
      </c>
      <c r="F216" s="13" t="s">
        <v>60</v>
      </c>
      <c r="G216" s="13" t="s">
        <v>37</v>
      </c>
      <c r="H216" s="10" t="b">
        <v>0</v>
      </c>
      <c r="I216" s="14">
        <v>1.9178654312E10</v>
      </c>
      <c r="J216" s="15" t="s">
        <v>849</v>
      </c>
      <c r="K216" s="15" t="s">
        <v>544</v>
      </c>
      <c r="L216" s="15" t="s">
        <v>40</v>
      </c>
      <c r="M216" s="82"/>
      <c r="N216" s="118"/>
    </row>
    <row r="217">
      <c r="A217" s="206">
        <v>216.0</v>
      </c>
      <c r="B217" s="26" t="s">
        <v>850</v>
      </c>
      <c r="C217" s="23"/>
      <c r="D217" s="23"/>
      <c r="E217" s="24" t="s">
        <v>414</v>
      </c>
      <c r="F217" s="24" t="s">
        <v>60</v>
      </c>
      <c r="G217" s="24" t="s">
        <v>37</v>
      </c>
      <c r="H217" s="22" t="b">
        <v>0</v>
      </c>
      <c r="I217" s="25">
        <v>1.516983405E10</v>
      </c>
      <c r="J217" s="26" t="s">
        <v>851</v>
      </c>
      <c r="K217" s="26" t="s">
        <v>852</v>
      </c>
      <c r="L217" s="26" t="s">
        <v>77</v>
      </c>
      <c r="M217" s="79"/>
      <c r="N217" s="85"/>
    </row>
    <row r="218">
      <c r="A218" s="204">
        <v>217.0</v>
      </c>
      <c r="B218" s="153" t="s">
        <v>853</v>
      </c>
      <c r="C218" s="12"/>
      <c r="D218" s="12"/>
      <c r="E218" s="13" t="s">
        <v>414</v>
      </c>
      <c r="F218" s="13" t="s">
        <v>36</v>
      </c>
      <c r="G218" s="13" t="s">
        <v>53</v>
      </c>
      <c r="H218" s="10" t="b">
        <v>0</v>
      </c>
      <c r="I218" s="14">
        <v>1.7082801047E10</v>
      </c>
      <c r="J218" s="15" t="s">
        <v>854</v>
      </c>
      <c r="K218" s="15" t="s">
        <v>360</v>
      </c>
      <c r="L218" s="15" t="s">
        <v>40</v>
      </c>
      <c r="M218" s="82"/>
      <c r="N218" s="118"/>
    </row>
    <row r="219">
      <c r="A219" s="206">
        <v>218.0</v>
      </c>
      <c r="B219" s="26" t="s">
        <v>855</v>
      </c>
      <c r="C219" s="23"/>
      <c r="D219" s="23"/>
      <c r="E219" s="24" t="s">
        <v>414</v>
      </c>
      <c r="F219" s="24" t="s">
        <v>60</v>
      </c>
      <c r="G219" s="24" t="s">
        <v>37</v>
      </c>
      <c r="H219" s="22" t="b">
        <v>0</v>
      </c>
      <c r="I219" s="25">
        <v>1.4136953672E10</v>
      </c>
      <c r="J219" s="26" t="s">
        <v>856</v>
      </c>
      <c r="K219" s="26" t="s">
        <v>292</v>
      </c>
      <c r="L219" s="26" t="s">
        <v>105</v>
      </c>
      <c r="M219" s="79"/>
      <c r="N219" s="85"/>
    </row>
    <row r="220">
      <c r="A220" s="204">
        <v>219.0</v>
      </c>
      <c r="B220" s="15" t="s">
        <v>857</v>
      </c>
      <c r="C220" s="12"/>
      <c r="D220" s="12"/>
      <c r="E220" s="13" t="s">
        <v>414</v>
      </c>
      <c r="F220" s="13" t="s">
        <v>60</v>
      </c>
      <c r="G220" s="13" t="s">
        <v>37</v>
      </c>
      <c r="H220" s="10" t="b">
        <v>0</v>
      </c>
      <c r="I220" s="14">
        <v>1.847343917E10</v>
      </c>
      <c r="J220" s="15" t="s">
        <v>858</v>
      </c>
      <c r="K220" s="15" t="s">
        <v>575</v>
      </c>
      <c r="L220" s="15" t="s">
        <v>314</v>
      </c>
      <c r="M220" s="82"/>
      <c r="N220" s="118"/>
    </row>
    <row r="221">
      <c r="A221" s="206">
        <v>220.0</v>
      </c>
      <c r="B221" s="26" t="s">
        <v>859</v>
      </c>
      <c r="C221" s="23"/>
      <c r="D221" s="23"/>
      <c r="E221" s="24" t="s">
        <v>414</v>
      </c>
      <c r="F221" s="24" t="s">
        <v>36</v>
      </c>
      <c r="G221" s="24" t="s">
        <v>37</v>
      </c>
      <c r="H221" s="22" t="b">
        <v>0</v>
      </c>
      <c r="I221" s="25">
        <v>1.2408880682E10</v>
      </c>
      <c r="J221" s="26" t="s">
        <v>860</v>
      </c>
      <c r="K221" s="26" t="s">
        <v>861</v>
      </c>
      <c r="L221" s="26" t="s">
        <v>105</v>
      </c>
      <c r="M221" s="79"/>
      <c r="N221" s="85"/>
    </row>
    <row r="222">
      <c r="A222" s="204">
        <v>221.0</v>
      </c>
      <c r="B222" s="15" t="s">
        <v>862</v>
      </c>
      <c r="C222" s="12"/>
      <c r="D222" s="12"/>
      <c r="E222" s="13" t="s">
        <v>414</v>
      </c>
      <c r="F222" s="13" t="s">
        <v>36</v>
      </c>
      <c r="G222" s="13" t="s">
        <v>53</v>
      </c>
      <c r="H222" s="10" t="b">
        <v>1</v>
      </c>
      <c r="I222" s="14">
        <v>1.5612139012E10</v>
      </c>
      <c r="J222" s="15" t="s">
        <v>863</v>
      </c>
      <c r="K222" s="15" t="s">
        <v>552</v>
      </c>
      <c r="L222" s="15" t="s">
        <v>40</v>
      </c>
      <c r="M222" s="82"/>
      <c r="N222" s="118"/>
    </row>
    <row r="223">
      <c r="A223" s="206">
        <v>222.0</v>
      </c>
      <c r="B223" s="130" t="s">
        <v>864</v>
      </c>
      <c r="C223" s="23"/>
      <c r="D223" s="23"/>
      <c r="E223" s="24" t="s">
        <v>414</v>
      </c>
      <c r="F223" s="24" t="s">
        <v>36</v>
      </c>
      <c r="G223" s="24" t="s">
        <v>37</v>
      </c>
      <c r="H223" s="22" t="b">
        <v>0</v>
      </c>
      <c r="I223" s="25">
        <v>1.415218485E10</v>
      </c>
      <c r="J223" s="26" t="s">
        <v>865</v>
      </c>
      <c r="K223" s="26" t="s">
        <v>866</v>
      </c>
      <c r="L223" s="26" t="s">
        <v>40</v>
      </c>
      <c r="M223" s="79"/>
      <c r="N223" s="85"/>
    </row>
    <row r="224">
      <c r="A224" s="204">
        <v>223.0</v>
      </c>
      <c r="B224" s="15" t="s">
        <v>867</v>
      </c>
      <c r="C224" s="12"/>
      <c r="D224" s="12"/>
      <c r="E224" s="13" t="s">
        <v>414</v>
      </c>
      <c r="F224" s="13" t="s">
        <v>36</v>
      </c>
      <c r="G224" s="13" t="s">
        <v>37</v>
      </c>
      <c r="H224" s="10" t="b">
        <v>0</v>
      </c>
      <c r="I224" s="14">
        <v>1.2018870737E10</v>
      </c>
      <c r="J224" s="15" t="s">
        <v>868</v>
      </c>
      <c r="K224" s="15" t="s">
        <v>869</v>
      </c>
      <c r="L224" s="15" t="s">
        <v>40</v>
      </c>
      <c r="M224" s="82"/>
      <c r="N224" s="118"/>
    </row>
    <row r="225">
      <c r="A225" s="206">
        <v>224.0</v>
      </c>
      <c r="B225" s="26" t="s">
        <v>870</v>
      </c>
      <c r="C225" s="23"/>
      <c r="D225" s="23"/>
      <c r="E225" s="24" t="s">
        <v>414</v>
      </c>
      <c r="F225" s="24" t="s">
        <v>60</v>
      </c>
      <c r="G225" s="24" t="s">
        <v>37</v>
      </c>
      <c r="H225" s="22" t="b">
        <v>0</v>
      </c>
      <c r="I225" s="25">
        <v>1.6073791361E10</v>
      </c>
      <c r="J225" s="26" t="s">
        <v>871</v>
      </c>
      <c r="K225" s="26" t="s">
        <v>575</v>
      </c>
      <c r="L225" s="26" t="s">
        <v>314</v>
      </c>
      <c r="M225" s="79"/>
      <c r="N225" s="85"/>
    </row>
    <row r="226">
      <c r="A226" s="204">
        <v>225.0</v>
      </c>
      <c r="B226" s="15" t="s">
        <v>872</v>
      </c>
      <c r="C226" s="12"/>
      <c r="D226" s="12"/>
      <c r="E226" s="13" t="s">
        <v>414</v>
      </c>
      <c r="F226" s="13" t="s">
        <v>36</v>
      </c>
      <c r="G226" s="13" t="s">
        <v>53</v>
      </c>
      <c r="H226" s="10" t="b">
        <v>0</v>
      </c>
      <c r="I226" s="14">
        <v>1.2148861234E10</v>
      </c>
      <c r="J226" s="15" t="s">
        <v>873</v>
      </c>
      <c r="K226" s="15" t="s">
        <v>115</v>
      </c>
      <c r="L226" s="15" t="s">
        <v>63</v>
      </c>
      <c r="M226" s="82"/>
      <c r="N226" s="118"/>
    </row>
    <row r="227">
      <c r="A227" s="206">
        <v>226.0</v>
      </c>
      <c r="B227" s="26" t="s">
        <v>874</v>
      </c>
      <c r="C227" s="23"/>
      <c r="D227" s="23"/>
      <c r="E227" s="24" t="s">
        <v>414</v>
      </c>
      <c r="F227" s="24" t="s">
        <v>36</v>
      </c>
      <c r="G227" s="24" t="s">
        <v>37</v>
      </c>
      <c r="H227" s="22" t="b">
        <v>0</v>
      </c>
      <c r="I227" s="25">
        <v>1.3303175141E10</v>
      </c>
      <c r="J227" s="26" t="s">
        <v>875</v>
      </c>
      <c r="K227" s="26" t="s">
        <v>876</v>
      </c>
      <c r="L227" s="26" t="s">
        <v>109</v>
      </c>
      <c r="M227" s="79"/>
      <c r="N227" s="85"/>
    </row>
    <row r="228">
      <c r="A228" s="204">
        <v>227.0</v>
      </c>
      <c r="B228" s="153" t="s">
        <v>877</v>
      </c>
      <c r="C228" s="12"/>
      <c r="D228" s="12"/>
      <c r="E228" s="13" t="s">
        <v>414</v>
      </c>
      <c r="F228" s="13" t="s">
        <v>36</v>
      </c>
      <c r="G228" s="13" t="s">
        <v>37</v>
      </c>
      <c r="H228" s="10" t="b">
        <v>0</v>
      </c>
      <c r="I228" s="14">
        <v>1.917297222E10</v>
      </c>
      <c r="J228" s="15" t="s">
        <v>878</v>
      </c>
      <c r="K228" s="15" t="s">
        <v>879</v>
      </c>
      <c r="L228" s="15" t="s">
        <v>194</v>
      </c>
      <c r="M228" s="82"/>
      <c r="N228" s="118"/>
    </row>
    <row r="229">
      <c r="A229" s="206">
        <v>228.0</v>
      </c>
      <c r="B229" s="26" t="s">
        <v>880</v>
      </c>
      <c r="C229" s="23"/>
      <c r="D229" s="23"/>
      <c r="E229" s="24" t="s">
        <v>414</v>
      </c>
      <c r="F229" s="24" t="s">
        <v>60</v>
      </c>
      <c r="G229" s="24" t="s">
        <v>37</v>
      </c>
      <c r="H229" s="22" t="b">
        <v>0</v>
      </c>
      <c r="I229" s="25">
        <v>1.208401493E10</v>
      </c>
      <c r="J229" s="26" t="s">
        <v>881</v>
      </c>
      <c r="K229" s="26" t="s">
        <v>882</v>
      </c>
      <c r="L229" s="26" t="s">
        <v>883</v>
      </c>
      <c r="M229" s="79"/>
      <c r="N229" s="85"/>
    </row>
    <row r="230">
      <c r="A230" s="204">
        <v>229.0</v>
      </c>
      <c r="B230" s="15" t="s">
        <v>884</v>
      </c>
      <c r="C230" s="12"/>
      <c r="D230" s="12"/>
      <c r="E230" s="13" t="s">
        <v>414</v>
      </c>
      <c r="F230" s="13" t="s">
        <v>60</v>
      </c>
      <c r="G230" s="13" t="s">
        <v>53</v>
      </c>
      <c r="H230" s="10" t="b">
        <v>0</v>
      </c>
      <c r="I230" s="14">
        <v>1.2488400772E10</v>
      </c>
      <c r="J230" s="15" t="s">
        <v>885</v>
      </c>
      <c r="K230" s="15" t="s">
        <v>407</v>
      </c>
      <c r="L230" s="15" t="s">
        <v>314</v>
      </c>
      <c r="M230" s="82"/>
      <c r="N230" s="118"/>
    </row>
    <row r="231">
      <c r="A231" s="206">
        <v>230.0</v>
      </c>
      <c r="B231" s="26" t="s">
        <v>886</v>
      </c>
      <c r="C231" s="23"/>
      <c r="D231" s="23"/>
      <c r="E231" s="24" t="s">
        <v>414</v>
      </c>
      <c r="F231" s="24" t="s">
        <v>60</v>
      </c>
      <c r="G231" s="24" t="s">
        <v>37</v>
      </c>
      <c r="H231" s="22" t="b">
        <v>0</v>
      </c>
      <c r="I231" s="25">
        <v>1.773383088E10</v>
      </c>
      <c r="J231" s="26" t="s">
        <v>887</v>
      </c>
      <c r="K231" s="26" t="s">
        <v>674</v>
      </c>
      <c r="L231" s="26" t="s">
        <v>56</v>
      </c>
      <c r="M231" s="79"/>
      <c r="N231" s="85"/>
    </row>
    <row r="232">
      <c r="A232" s="204">
        <v>231.0</v>
      </c>
      <c r="B232" s="15" t="s">
        <v>888</v>
      </c>
      <c r="C232" s="12"/>
      <c r="D232" s="12"/>
      <c r="E232" s="13" t="s">
        <v>414</v>
      </c>
      <c r="F232" s="13" t="s">
        <v>36</v>
      </c>
      <c r="G232" s="13" t="s">
        <v>37</v>
      </c>
      <c r="H232" s="10" t="b">
        <v>0</v>
      </c>
      <c r="I232" s="14">
        <v>1.9177238337E10</v>
      </c>
      <c r="J232" s="15" t="s">
        <v>889</v>
      </c>
      <c r="K232" s="15" t="s">
        <v>890</v>
      </c>
      <c r="L232" s="15" t="s">
        <v>56</v>
      </c>
      <c r="M232" s="82"/>
      <c r="N232" s="118"/>
    </row>
    <row r="233">
      <c r="A233" s="206">
        <v>232.0</v>
      </c>
      <c r="B233" s="130" t="s">
        <v>891</v>
      </c>
      <c r="C233" s="23"/>
      <c r="D233" s="23"/>
      <c r="E233" s="24" t="s">
        <v>414</v>
      </c>
      <c r="F233" s="24" t="s">
        <v>60</v>
      </c>
      <c r="G233" s="24" t="s">
        <v>37</v>
      </c>
      <c r="H233" s="22" t="b">
        <v>0</v>
      </c>
      <c r="I233" s="25">
        <v>1.856448249E10</v>
      </c>
      <c r="J233" s="26" t="s">
        <v>892</v>
      </c>
      <c r="K233" s="26" t="s">
        <v>893</v>
      </c>
      <c r="L233" s="26" t="s">
        <v>56</v>
      </c>
      <c r="M233" s="79"/>
      <c r="N233" s="85"/>
    </row>
    <row r="234">
      <c r="A234" s="204">
        <v>233.0</v>
      </c>
      <c r="B234" s="15" t="s">
        <v>894</v>
      </c>
      <c r="C234" s="12"/>
      <c r="D234" s="12"/>
      <c r="E234" s="13" t="s">
        <v>414</v>
      </c>
      <c r="F234" s="13" t="s">
        <v>36</v>
      </c>
      <c r="G234" s="13" t="s">
        <v>53</v>
      </c>
      <c r="H234" s="10" t="b">
        <v>0</v>
      </c>
      <c r="I234" s="14">
        <v>1.9543468901E10</v>
      </c>
      <c r="J234" s="15" t="s">
        <v>895</v>
      </c>
      <c r="K234" s="15" t="s">
        <v>896</v>
      </c>
      <c r="L234" s="15" t="s">
        <v>40</v>
      </c>
      <c r="M234" s="82"/>
      <c r="N234" s="118"/>
    </row>
    <row r="235">
      <c r="A235" s="206">
        <v>234.0</v>
      </c>
      <c r="B235" s="26" t="s">
        <v>897</v>
      </c>
      <c r="C235" s="23"/>
      <c r="D235" s="23"/>
      <c r="E235" s="24" t="s">
        <v>414</v>
      </c>
      <c r="F235" s="24" t="s">
        <v>36</v>
      </c>
      <c r="G235" s="24" t="s">
        <v>37</v>
      </c>
      <c r="H235" s="22" t="b">
        <v>0</v>
      </c>
      <c r="I235" s="25">
        <v>1.6023190392E10</v>
      </c>
      <c r="J235" s="26" t="s">
        <v>898</v>
      </c>
      <c r="K235" s="26" t="s">
        <v>504</v>
      </c>
      <c r="L235" s="26" t="s">
        <v>505</v>
      </c>
      <c r="M235" s="79"/>
      <c r="N235" s="85"/>
    </row>
    <row r="236">
      <c r="A236" s="204">
        <v>235.0</v>
      </c>
      <c r="B236" s="15" t="s">
        <v>899</v>
      </c>
      <c r="C236" s="12"/>
      <c r="D236" s="12"/>
      <c r="E236" s="13" t="s">
        <v>414</v>
      </c>
      <c r="F236" s="13" t="s">
        <v>36</v>
      </c>
      <c r="G236" s="13" t="s">
        <v>37</v>
      </c>
      <c r="H236" s="10" t="b">
        <v>0</v>
      </c>
      <c r="I236" s="14">
        <v>1.6127207448E10</v>
      </c>
      <c r="J236" s="15" t="s">
        <v>900</v>
      </c>
      <c r="K236" s="15" t="s">
        <v>901</v>
      </c>
      <c r="L236" s="15" t="s">
        <v>902</v>
      </c>
      <c r="M236" s="82"/>
      <c r="N236" s="118"/>
    </row>
    <row r="237">
      <c r="A237" s="206">
        <v>236.0</v>
      </c>
      <c r="B237" s="26" t="s">
        <v>903</v>
      </c>
      <c r="C237" s="23"/>
      <c r="D237" s="23"/>
      <c r="E237" s="24" t="s">
        <v>414</v>
      </c>
      <c r="F237" s="24" t="s">
        <v>60</v>
      </c>
      <c r="G237" s="24" t="s">
        <v>37</v>
      </c>
      <c r="H237" s="22" t="b">
        <v>0</v>
      </c>
      <c r="I237" s="25">
        <v>1.203668251E10</v>
      </c>
      <c r="J237" s="26" t="s">
        <v>904</v>
      </c>
      <c r="K237" s="26" t="s">
        <v>179</v>
      </c>
      <c r="L237" s="26" t="s">
        <v>100</v>
      </c>
      <c r="M237" s="79"/>
      <c r="N237" s="85"/>
    </row>
    <row r="238">
      <c r="A238" s="204">
        <v>237.0</v>
      </c>
      <c r="B238" s="153" t="s">
        <v>905</v>
      </c>
      <c r="C238" s="12"/>
      <c r="D238" s="12"/>
      <c r="E238" s="13" t="s">
        <v>414</v>
      </c>
      <c r="F238" s="13" t="s">
        <v>36</v>
      </c>
      <c r="G238" s="13" t="s">
        <v>53</v>
      </c>
      <c r="H238" s="10" t="b">
        <v>0</v>
      </c>
      <c r="I238" s="14">
        <v>1.4694639036E10</v>
      </c>
      <c r="J238" s="15" t="s">
        <v>906</v>
      </c>
      <c r="K238" s="15" t="s">
        <v>115</v>
      </c>
      <c r="L238" s="15" t="s">
        <v>63</v>
      </c>
      <c r="M238" s="82"/>
      <c r="N238" s="118"/>
    </row>
    <row r="239">
      <c r="A239" s="206">
        <v>238.0</v>
      </c>
      <c r="B239" s="26" t="s">
        <v>907</v>
      </c>
      <c r="C239" s="23"/>
      <c r="D239" s="23"/>
      <c r="E239" s="24" t="s">
        <v>414</v>
      </c>
      <c r="F239" s="24" t="s">
        <v>36</v>
      </c>
      <c r="G239" s="24" t="s">
        <v>37</v>
      </c>
      <c r="H239" s="22" t="b">
        <v>0</v>
      </c>
      <c r="I239" s="25">
        <v>1.3105259128E10</v>
      </c>
      <c r="J239" s="26" t="s">
        <v>908</v>
      </c>
      <c r="K239" s="26" t="s">
        <v>393</v>
      </c>
      <c r="L239" s="26" t="s">
        <v>40</v>
      </c>
      <c r="M239" s="79"/>
      <c r="N239" s="85"/>
    </row>
    <row r="240">
      <c r="A240" s="204">
        <v>239.0</v>
      </c>
      <c r="B240" s="15" t="s">
        <v>909</v>
      </c>
      <c r="C240" s="12"/>
      <c r="D240" s="12"/>
      <c r="E240" s="13" t="s">
        <v>414</v>
      </c>
      <c r="F240" s="13" t="s">
        <v>36</v>
      </c>
      <c r="G240" s="13" t="s">
        <v>37</v>
      </c>
      <c r="H240" s="10" t="b">
        <v>0</v>
      </c>
      <c r="I240" s="14">
        <v>1.8475718441E10</v>
      </c>
      <c r="J240" s="15" t="s">
        <v>910</v>
      </c>
      <c r="K240" s="15" t="s">
        <v>911</v>
      </c>
      <c r="L240" s="15" t="s">
        <v>314</v>
      </c>
      <c r="M240" s="82"/>
      <c r="N240" s="118"/>
    </row>
    <row r="241">
      <c r="A241" s="206">
        <v>240.0</v>
      </c>
      <c r="B241" s="26" t="s">
        <v>912</v>
      </c>
      <c r="C241" s="23"/>
      <c r="D241" s="23"/>
      <c r="E241" s="24" t="s">
        <v>414</v>
      </c>
      <c r="F241" s="24" t="s">
        <v>60</v>
      </c>
      <c r="G241" s="24" t="s">
        <v>37</v>
      </c>
      <c r="H241" s="22" t="b">
        <v>0</v>
      </c>
      <c r="I241" s="25">
        <v>1.4153073357E10</v>
      </c>
      <c r="J241" s="26" t="s">
        <v>913</v>
      </c>
      <c r="K241" s="26" t="s">
        <v>914</v>
      </c>
      <c r="L241" s="26" t="s">
        <v>194</v>
      </c>
      <c r="M241" s="79"/>
      <c r="N241" s="85"/>
    </row>
    <row r="242">
      <c r="A242" s="204">
        <v>241.0</v>
      </c>
      <c r="B242" s="15" t="s">
        <v>915</v>
      </c>
      <c r="C242" s="12"/>
      <c r="D242" s="12"/>
      <c r="E242" s="13" t="s">
        <v>414</v>
      </c>
      <c r="F242" s="13" t="s">
        <v>36</v>
      </c>
      <c r="G242" s="13" t="s">
        <v>37</v>
      </c>
      <c r="H242" s="10" t="b">
        <v>1</v>
      </c>
      <c r="I242" s="14">
        <v>1.2037338298E10</v>
      </c>
      <c r="J242" s="15" t="s">
        <v>916</v>
      </c>
      <c r="K242" s="15" t="s">
        <v>371</v>
      </c>
      <c r="L242" s="15" t="s">
        <v>301</v>
      </c>
      <c r="M242" s="82"/>
      <c r="N242" s="118"/>
    </row>
    <row r="243">
      <c r="A243" s="206">
        <v>242.0</v>
      </c>
      <c r="B243" s="130" t="s">
        <v>917</v>
      </c>
      <c r="C243" s="23"/>
      <c r="D243" s="23"/>
      <c r="E243" s="24" t="s">
        <v>414</v>
      </c>
      <c r="F243" s="24" t="s">
        <v>60</v>
      </c>
      <c r="G243" s="24" t="s">
        <v>37</v>
      </c>
      <c r="H243" s="22" t="b">
        <v>0</v>
      </c>
      <c r="I243" s="25">
        <v>1.5169936092E10</v>
      </c>
      <c r="J243" s="26" t="s">
        <v>918</v>
      </c>
      <c r="K243" s="26" t="s">
        <v>919</v>
      </c>
      <c r="L243" s="26" t="s">
        <v>77</v>
      </c>
      <c r="M243" s="79"/>
      <c r="N243" s="85"/>
    </row>
    <row r="244">
      <c r="A244" s="204">
        <v>243.0</v>
      </c>
      <c r="B244" s="15" t="s">
        <v>920</v>
      </c>
      <c r="C244" s="12"/>
      <c r="D244" s="12"/>
      <c r="E244" s="13" t="s">
        <v>414</v>
      </c>
      <c r="F244" s="13" t="s">
        <v>36</v>
      </c>
      <c r="G244" s="13" t="s">
        <v>37</v>
      </c>
      <c r="H244" s="10" t="b">
        <v>0</v>
      </c>
      <c r="I244" s="14">
        <v>1.8184416767E10</v>
      </c>
      <c r="J244" s="15" t="s">
        <v>921</v>
      </c>
      <c r="K244" s="15" t="s">
        <v>698</v>
      </c>
      <c r="L244" s="15" t="s">
        <v>194</v>
      </c>
      <c r="M244" s="82"/>
      <c r="N244" s="118"/>
    </row>
    <row r="245">
      <c r="A245" s="206">
        <v>244.0</v>
      </c>
      <c r="B245" s="26" t="s">
        <v>922</v>
      </c>
      <c r="C245" s="23"/>
      <c r="D245" s="23"/>
      <c r="E245" s="24" t="s">
        <v>414</v>
      </c>
      <c r="F245" s="24" t="s">
        <v>36</v>
      </c>
      <c r="G245" s="24" t="s">
        <v>37</v>
      </c>
      <c r="H245" s="22" t="b">
        <v>0</v>
      </c>
      <c r="I245" s="25">
        <v>1.4015753161E10</v>
      </c>
      <c r="J245" s="26" t="s">
        <v>923</v>
      </c>
      <c r="K245" s="26" t="s">
        <v>924</v>
      </c>
      <c r="L245" s="26" t="s">
        <v>925</v>
      </c>
      <c r="M245" s="79"/>
      <c r="N245" s="85"/>
    </row>
    <row r="246">
      <c r="A246" s="204">
        <v>245.0</v>
      </c>
      <c r="B246" s="15" t="s">
        <v>926</v>
      </c>
      <c r="C246" s="12"/>
      <c r="D246" s="12"/>
      <c r="E246" s="13" t="s">
        <v>414</v>
      </c>
      <c r="F246" s="13" t="s">
        <v>60</v>
      </c>
      <c r="G246" s="13" t="s">
        <v>53</v>
      </c>
      <c r="H246" s="10" t="b">
        <v>0</v>
      </c>
      <c r="I246" s="14">
        <v>1.51620974E10</v>
      </c>
      <c r="J246" s="15" t="s">
        <v>927</v>
      </c>
      <c r="K246" s="15" t="s">
        <v>319</v>
      </c>
      <c r="L246" s="15" t="s">
        <v>77</v>
      </c>
      <c r="M246" s="82"/>
      <c r="N246" s="118"/>
    </row>
    <row r="247">
      <c r="A247" s="206">
        <v>246.0</v>
      </c>
      <c r="B247" s="26" t="s">
        <v>113</v>
      </c>
      <c r="C247" s="23"/>
      <c r="D247" s="23"/>
      <c r="E247" s="24" t="s">
        <v>414</v>
      </c>
      <c r="F247" s="24" t="s">
        <v>36</v>
      </c>
      <c r="G247" s="24" t="s">
        <v>37</v>
      </c>
      <c r="H247" s="22" t="b">
        <v>0</v>
      </c>
      <c r="I247" s="25">
        <v>1.4692229328E10</v>
      </c>
      <c r="J247" s="26" t="s">
        <v>114</v>
      </c>
      <c r="K247" s="26" t="s">
        <v>115</v>
      </c>
      <c r="L247" s="26" t="s">
        <v>63</v>
      </c>
      <c r="M247" s="79"/>
      <c r="N247" s="85"/>
    </row>
    <row r="248">
      <c r="A248" s="204">
        <v>247.0</v>
      </c>
      <c r="B248" s="153" t="s">
        <v>306</v>
      </c>
      <c r="C248" s="12"/>
      <c r="D248" s="12"/>
      <c r="E248" s="13" t="s">
        <v>414</v>
      </c>
      <c r="F248" s="13" t="s">
        <v>60</v>
      </c>
      <c r="G248" s="13" t="s">
        <v>37</v>
      </c>
      <c r="H248" s="10" t="b">
        <v>0</v>
      </c>
      <c r="I248" s="14">
        <v>1.4692237479E10</v>
      </c>
      <c r="J248" s="15" t="s">
        <v>310</v>
      </c>
      <c r="K248" s="15" t="s">
        <v>115</v>
      </c>
      <c r="L248" s="15" t="s">
        <v>63</v>
      </c>
      <c r="M248" s="82"/>
      <c r="N248" s="118"/>
    </row>
    <row r="249">
      <c r="A249" s="206">
        <v>248.0</v>
      </c>
      <c r="B249" s="26" t="s">
        <v>928</v>
      </c>
      <c r="C249" s="23"/>
      <c r="D249" s="23"/>
      <c r="E249" s="24" t="s">
        <v>414</v>
      </c>
      <c r="F249" s="24" t="s">
        <v>36</v>
      </c>
      <c r="G249" s="24" t="s">
        <v>37</v>
      </c>
      <c r="H249" s="22" t="b">
        <v>0</v>
      </c>
      <c r="I249" s="25">
        <v>1.2153176945E10</v>
      </c>
      <c r="J249" s="26" t="s">
        <v>929</v>
      </c>
      <c r="K249" s="26" t="s">
        <v>930</v>
      </c>
      <c r="L249" s="26" t="s">
        <v>70</v>
      </c>
      <c r="M249" s="79"/>
      <c r="N249" s="85"/>
    </row>
    <row r="250">
      <c r="A250" s="204">
        <v>249.0</v>
      </c>
      <c r="B250" s="15" t="s">
        <v>931</v>
      </c>
      <c r="C250" s="12"/>
      <c r="D250" s="12"/>
      <c r="E250" s="13" t="s">
        <v>414</v>
      </c>
      <c r="F250" s="13" t="s">
        <v>36</v>
      </c>
      <c r="G250" s="13" t="s">
        <v>53</v>
      </c>
      <c r="H250" s="10" t="b">
        <v>1</v>
      </c>
      <c r="I250" s="14">
        <v>1.2039966714E10</v>
      </c>
      <c r="J250" s="15" t="s">
        <v>932</v>
      </c>
      <c r="K250" s="15" t="s">
        <v>933</v>
      </c>
      <c r="L250" s="15" t="s">
        <v>100</v>
      </c>
      <c r="M250" s="82"/>
      <c r="N250" s="118"/>
    </row>
    <row r="251">
      <c r="A251" s="206">
        <v>250.0</v>
      </c>
      <c r="B251" s="26" t="s">
        <v>934</v>
      </c>
      <c r="C251" s="23"/>
      <c r="D251" s="23"/>
      <c r="E251" s="24" t="s">
        <v>414</v>
      </c>
      <c r="F251" s="24" t="s">
        <v>60</v>
      </c>
      <c r="G251" s="24" t="s">
        <v>37</v>
      </c>
      <c r="H251" s="22" t="b">
        <v>0</v>
      </c>
      <c r="I251" s="25">
        <v>1.2489390007E10</v>
      </c>
      <c r="J251" s="26" t="s">
        <v>935</v>
      </c>
      <c r="K251" s="26" t="s">
        <v>407</v>
      </c>
      <c r="L251" s="26" t="s">
        <v>314</v>
      </c>
      <c r="M251" s="79"/>
      <c r="N251" s="85"/>
    </row>
    <row r="252">
      <c r="A252" s="204">
        <v>251.0</v>
      </c>
      <c r="B252" s="15" t="s">
        <v>936</v>
      </c>
      <c r="C252" s="12"/>
      <c r="D252" s="12"/>
      <c r="E252" s="13" t="s">
        <v>414</v>
      </c>
      <c r="F252" s="13" t="s">
        <v>60</v>
      </c>
      <c r="G252" s="13" t="s">
        <v>37</v>
      </c>
      <c r="H252" s="10" t="b">
        <v>0</v>
      </c>
      <c r="I252" s="14">
        <v>1.5166606367E10</v>
      </c>
      <c r="J252" s="15" t="s">
        <v>937</v>
      </c>
      <c r="K252" s="15" t="s">
        <v>610</v>
      </c>
      <c r="L252" s="15" t="s">
        <v>77</v>
      </c>
      <c r="M252" s="82"/>
      <c r="N252" s="118"/>
    </row>
    <row r="253">
      <c r="A253" s="206">
        <v>252.0</v>
      </c>
      <c r="B253" s="130" t="s">
        <v>938</v>
      </c>
      <c r="C253" s="23"/>
      <c r="D253" s="23"/>
      <c r="E253" s="24" t="s">
        <v>414</v>
      </c>
      <c r="F253" s="24" t="s">
        <v>36</v>
      </c>
      <c r="G253" s="24" t="s">
        <v>37</v>
      </c>
      <c r="H253" s="22" t="b">
        <v>0</v>
      </c>
      <c r="I253" s="25">
        <v>1.4044225118E10</v>
      </c>
      <c r="J253" s="26" t="s">
        <v>939</v>
      </c>
      <c r="K253" s="26" t="s">
        <v>940</v>
      </c>
      <c r="L253" s="26" t="s">
        <v>124</v>
      </c>
      <c r="M253" s="79"/>
      <c r="N253" s="85"/>
    </row>
    <row r="254">
      <c r="A254" s="204">
        <v>253.0</v>
      </c>
      <c r="B254" s="15" t="s">
        <v>941</v>
      </c>
      <c r="C254" s="12"/>
      <c r="D254" s="12"/>
      <c r="E254" s="13" t="s">
        <v>414</v>
      </c>
      <c r="F254" s="13" t="s">
        <v>60</v>
      </c>
      <c r="G254" s="13" t="s">
        <v>53</v>
      </c>
      <c r="H254" s="10" t="b">
        <v>0</v>
      </c>
      <c r="I254" s="14">
        <v>1.8608887979E10</v>
      </c>
      <c r="J254" s="15" t="s">
        <v>942</v>
      </c>
      <c r="K254" s="15" t="s">
        <v>83</v>
      </c>
      <c r="L254" s="15" t="s">
        <v>84</v>
      </c>
      <c r="M254" s="82"/>
      <c r="N254" s="118"/>
    </row>
    <row r="255">
      <c r="A255" s="206">
        <v>254.0</v>
      </c>
      <c r="B255" s="26" t="s">
        <v>943</v>
      </c>
      <c r="C255" s="23"/>
      <c r="D255" s="23"/>
      <c r="E255" s="24" t="s">
        <v>414</v>
      </c>
      <c r="F255" s="24" t="s">
        <v>60</v>
      </c>
      <c r="G255" s="24" t="s">
        <v>37</v>
      </c>
      <c r="H255" s="22" t="b">
        <v>0</v>
      </c>
      <c r="I255" s="25">
        <v>1.8478001178E10</v>
      </c>
      <c r="J255" s="26" t="s">
        <v>944</v>
      </c>
      <c r="K255" s="26" t="s">
        <v>945</v>
      </c>
      <c r="L255" s="26" t="s">
        <v>40</v>
      </c>
      <c r="M255" s="79"/>
      <c r="N255" s="85"/>
    </row>
    <row r="256">
      <c r="A256" s="204">
        <v>255.0</v>
      </c>
      <c r="B256" s="15" t="s">
        <v>946</v>
      </c>
      <c r="C256" s="12"/>
      <c r="D256" s="12"/>
      <c r="E256" s="13" t="s">
        <v>414</v>
      </c>
      <c r="F256" s="13" t="s">
        <v>36</v>
      </c>
      <c r="G256" s="13" t="s">
        <v>37</v>
      </c>
      <c r="H256" s="10" t="b">
        <v>0</v>
      </c>
      <c r="I256" s="14">
        <v>1.5613039689E10</v>
      </c>
      <c r="J256" s="15" t="s">
        <v>947</v>
      </c>
      <c r="K256" s="15" t="s">
        <v>948</v>
      </c>
      <c r="L256" s="15" t="s">
        <v>105</v>
      </c>
      <c r="M256" s="82"/>
      <c r="N256" s="118"/>
    </row>
    <row r="257">
      <c r="A257" s="206">
        <v>256.0</v>
      </c>
      <c r="B257" s="26" t="s">
        <v>949</v>
      </c>
      <c r="C257" s="23"/>
      <c r="D257" s="23"/>
      <c r="E257" s="24" t="s">
        <v>414</v>
      </c>
      <c r="F257" s="24" t="s">
        <v>60</v>
      </c>
      <c r="G257" s="24" t="s">
        <v>37</v>
      </c>
      <c r="H257" s="22" t="b">
        <v>0</v>
      </c>
      <c r="I257" s="25">
        <v>1.9738963938E10</v>
      </c>
      <c r="J257" s="26" t="s">
        <v>950</v>
      </c>
      <c r="K257" s="26" t="s">
        <v>951</v>
      </c>
      <c r="L257" s="26" t="s">
        <v>56</v>
      </c>
      <c r="M257" s="79"/>
      <c r="N257" s="85"/>
    </row>
    <row r="258">
      <c r="A258" s="204">
        <v>257.0</v>
      </c>
      <c r="B258" s="153" t="s">
        <v>952</v>
      </c>
      <c r="C258" s="12"/>
      <c r="D258" s="12"/>
      <c r="E258" s="13" t="s">
        <v>414</v>
      </c>
      <c r="F258" s="13" t="s">
        <v>36</v>
      </c>
      <c r="G258" s="13" t="s">
        <v>53</v>
      </c>
      <c r="H258" s="10" t="b">
        <v>1</v>
      </c>
      <c r="I258" s="14">
        <v>1.9178815166E10</v>
      </c>
      <c r="J258" s="15" t="s">
        <v>953</v>
      </c>
      <c r="K258" s="15" t="s">
        <v>83</v>
      </c>
      <c r="L258" s="15" t="s">
        <v>84</v>
      </c>
      <c r="M258" s="82"/>
      <c r="N258" s="118"/>
    </row>
    <row r="259">
      <c r="A259" s="206">
        <v>258.0</v>
      </c>
      <c r="B259" s="26" t="s">
        <v>954</v>
      </c>
      <c r="C259" s="23"/>
      <c r="D259" s="23"/>
      <c r="E259" s="24" t="s">
        <v>414</v>
      </c>
      <c r="F259" s="24" t="s">
        <v>60</v>
      </c>
      <c r="G259" s="24" t="s">
        <v>37</v>
      </c>
      <c r="H259" s="22" t="b">
        <v>0</v>
      </c>
      <c r="I259" s="25">
        <v>1.9175785915E10</v>
      </c>
      <c r="J259" s="26" t="s">
        <v>955</v>
      </c>
      <c r="K259" s="26" t="s">
        <v>956</v>
      </c>
      <c r="L259" s="26" t="s">
        <v>56</v>
      </c>
      <c r="M259" s="79"/>
      <c r="N259" s="85"/>
    </row>
    <row r="260">
      <c r="A260" s="204">
        <v>259.0</v>
      </c>
      <c r="B260" s="15" t="s">
        <v>957</v>
      </c>
      <c r="C260" s="12"/>
      <c r="D260" s="12"/>
      <c r="E260" s="13" t="s">
        <v>414</v>
      </c>
      <c r="F260" s="13" t="s">
        <v>60</v>
      </c>
      <c r="G260" s="13" t="s">
        <v>37</v>
      </c>
      <c r="H260" s="10" t="b">
        <v>0</v>
      </c>
      <c r="I260" s="14">
        <v>1.3058074657E10</v>
      </c>
      <c r="J260" s="15" t="s">
        <v>958</v>
      </c>
      <c r="K260" s="15" t="s">
        <v>762</v>
      </c>
      <c r="L260" s="15" t="s">
        <v>40</v>
      </c>
      <c r="M260" s="82"/>
      <c r="N260" s="118"/>
    </row>
    <row r="261">
      <c r="A261" s="206">
        <v>260.0</v>
      </c>
      <c r="B261" s="26" t="s">
        <v>959</v>
      </c>
      <c r="C261" s="23"/>
      <c r="D261" s="23"/>
      <c r="E261" s="24" t="s">
        <v>414</v>
      </c>
      <c r="F261" s="24" t="s">
        <v>36</v>
      </c>
      <c r="G261" s="24" t="s">
        <v>37</v>
      </c>
      <c r="H261" s="22" t="b">
        <v>0</v>
      </c>
      <c r="I261" s="25">
        <v>1.8572875374E10</v>
      </c>
      <c r="J261" s="26" t="s">
        <v>960</v>
      </c>
      <c r="K261" s="26" t="s">
        <v>961</v>
      </c>
      <c r="L261" s="26" t="s">
        <v>301</v>
      </c>
      <c r="M261" s="79"/>
      <c r="N261" s="85"/>
    </row>
    <row r="262">
      <c r="A262" s="204">
        <v>261.0</v>
      </c>
      <c r="B262" s="15" t="s">
        <v>962</v>
      </c>
      <c r="C262" s="12"/>
      <c r="D262" s="12"/>
      <c r="E262" s="13" t="s">
        <v>414</v>
      </c>
      <c r="F262" s="13" t="s">
        <v>60</v>
      </c>
      <c r="G262" s="13" t="s">
        <v>53</v>
      </c>
      <c r="H262" s="10" t="b">
        <v>0</v>
      </c>
      <c r="I262" s="14">
        <v>1.9088396009E10</v>
      </c>
      <c r="J262" s="15" t="s">
        <v>963</v>
      </c>
      <c r="K262" s="15" t="s">
        <v>964</v>
      </c>
      <c r="L262" s="15" t="s">
        <v>965</v>
      </c>
      <c r="M262" s="82"/>
      <c r="N262" s="118"/>
    </row>
    <row r="263">
      <c r="A263" s="206">
        <v>262.0</v>
      </c>
      <c r="B263" s="130" t="s">
        <v>966</v>
      </c>
      <c r="C263" s="23"/>
      <c r="D263" s="23"/>
      <c r="E263" s="24" t="s">
        <v>414</v>
      </c>
      <c r="F263" s="24" t="s">
        <v>36</v>
      </c>
      <c r="G263" s="24" t="s">
        <v>37</v>
      </c>
      <c r="H263" s="22" t="b">
        <v>0</v>
      </c>
      <c r="I263" s="25">
        <v>1.201410504E10</v>
      </c>
      <c r="J263" s="26" t="s">
        <v>967</v>
      </c>
      <c r="K263" s="26" t="s">
        <v>968</v>
      </c>
      <c r="L263" s="26" t="s">
        <v>56</v>
      </c>
      <c r="M263" s="79"/>
      <c r="N263" s="85"/>
    </row>
    <row r="264">
      <c r="A264" s="204">
        <v>263.0</v>
      </c>
      <c r="B264" s="15" t="s">
        <v>969</v>
      </c>
      <c r="C264" s="12"/>
      <c r="D264" s="12"/>
      <c r="E264" s="13" t="s">
        <v>414</v>
      </c>
      <c r="F264" s="13" t="s">
        <v>60</v>
      </c>
      <c r="G264" s="13" t="s">
        <v>37</v>
      </c>
      <c r="H264" s="10" t="b">
        <v>0</v>
      </c>
      <c r="I264" s="14">
        <v>1.201390751E10</v>
      </c>
      <c r="J264" s="15" t="s">
        <v>970</v>
      </c>
      <c r="K264" s="15" t="s">
        <v>968</v>
      </c>
      <c r="L264" s="15" t="s">
        <v>56</v>
      </c>
      <c r="M264" s="82"/>
      <c r="N264" s="118"/>
    </row>
    <row r="265">
      <c r="A265" s="206">
        <v>264.0</v>
      </c>
      <c r="B265" s="26" t="s">
        <v>971</v>
      </c>
      <c r="C265" s="23"/>
      <c r="D265" s="23"/>
      <c r="E265" s="24" t="s">
        <v>414</v>
      </c>
      <c r="F265" s="24" t="s">
        <v>36</v>
      </c>
      <c r="G265" s="24" t="s">
        <v>37</v>
      </c>
      <c r="H265" s="22" t="b">
        <v>0</v>
      </c>
      <c r="I265" s="25">
        <v>1.21568001E10</v>
      </c>
      <c r="J265" s="26" t="s">
        <v>972</v>
      </c>
      <c r="K265" s="26" t="s">
        <v>973</v>
      </c>
      <c r="L265" s="26" t="s">
        <v>70</v>
      </c>
      <c r="M265" s="79"/>
      <c r="N265" s="85"/>
    </row>
    <row r="266">
      <c r="A266" s="204">
        <v>265.0</v>
      </c>
      <c r="B266" s="15" t="s">
        <v>974</v>
      </c>
      <c r="C266" s="12"/>
      <c r="D266" s="12"/>
      <c r="E266" s="13" t="s">
        <v>414</v>
      </c>
      <c r="F266" s="13" t="s">
        <v>60</v>
      </c>
      <c r="G266" s="13" t="s">
        <v>53</v>
      </c>
      <c r="H266" s="10" t="b">
        <v>1</v>
      </c>
      <c r="I266" s="14">
        <v>1.8479712254E10</v>
      </c>
      <c r="J266" s="15" t="s">
        <v>975</v>
      </c>
      <c r="K266" s="15" t="s">
        <v>976</v>
      </c>
      <c r="L266" s="15" t="s">
        <v>314</v>
      </c>
      <c r="M266" s="82"/>
      <c r="N266" s="118"/>
    </row>
    <row r="267">
      <c r="A267" s="206">
        <v>266.0</v>
      </c>
      <c r="B267" s="26" t="s">
        <v>977</v>
      </c>
      <c r="C267" s="23"/>
      <c r="D267" s="23"/>
      <c r="E267" s="24" t="s">
        <v>414</v>
      </c>
      <c r="F267" s="24" t="s">
        <v>60</v>
      </c>
      <c r="G267" s="24" t="s">
        <v>37</v>
      </c>
      <c r="H267" s="22" t="b">
        <v>0</v>
      </c>
      <c r="I267" s="25">
        <v>1.6315611422E10</v>
      </c>
      <c r="J267" s="26" t="s">
        <v>978</v>
      </c>
      <c r="K267" s="26" t="s">
        <v>208</v>
      </c>
      <c r="L267" s="26" t="s">
        <v>77</v>
      </c>
      <c r="M267" s="79"/>
      <c r="N267" s="85"/>
    </row>
    <row r="268">
      <c r="A268" s="204">
        <v>267.0</v>
      </c>
      <c r="B268" s="153" t="s">
        <v>979</v>
      </c>
      <c r="C268" s="12"/>
      <c r="D268" s="12"/>
      <c r="E268" s="13" t="s">
        <v>414</v>
      </c>
      <c r="F268" s="13" t="s">
        <v>36</v>
      </c>
      <c r="G268" s="13" t="s">
        <v>37</v>
      </c>
      <c r="H268" s="10" t="b">
        <v>0</v>
      </c>
      <c r="I268" s="14">
        <v>1.9173458238E10</v>
      </c>
      <c r="J268" s="15" t="s">
        <v>392</v>
      </c>
      <c r="K268" s="15" t="s">
        <v>393</v>
      </c>
      <c r="L268" s="15" t="s">
        <v>40</v>
      </c>
      <c r="M268" s="82"/>
      <c r="N268" s="118"/>
    </row>
    <row r="269">
      <c r="A269" s="206">
        <v>268.0</v>
      </c>
      <c r="B269" s="26" t="s">
        <v>260</v>
      </c>
      <c r="C269" s="23"/>
      <c r="D269" s="23"/>
      <c r="E269" s="24" t="s">
        <v>414</v>
      </c>
      <c r="F269" s="24" t="s">
        <v>60</v>
      </c>
      <c r="G269" s="24" t="s">
        <v>37</v>
      </c>
      <c r="H269" s="22" t="b">
        <v>0</v>
      </c>
      <c r="I269" s="25">
        <v>1.2159012951E10</v>
      </c>
      <c r="J269" s="26" t="s">
        <v>261</v>
      </c>
      <c r="K269" s="26" t="s">
        <v>262</v>
      </c>
      <c r="L269" s="26" t="s">
        <v>70</v>
      </c>
      <c r="M269" s="79"/>
      <c r="N269" s="85"/>
    </row>
    <row r="270">
      <c r="A270" s="204">
        <v>269.0</v>
      </c>
      <c r="B270" s="15" t="s">
        <v>980</v>
      </c>
      <c r="C270" s="12"/>
      <c r="D270" s="12"/>
      <c r="E270" s="13" t="s">
        <v>414</v>
      </c>
      <c r="F270" s="13" t="s">
        <v>60</v>
      </c>
      <c r="G270" s="13" t="s">
        <v>53</v>
      </c>
      <c r="H270" s="10" t="b">
        <v>1</v>
      </c>
      <c r="I270" s="14">
        <v>1.8476916667E10</v>
      </c>
      <c r="J270" s="15" t="s">
        <v>981</v>
      </c>
      <c r="K270" s="15" t="s">
        <v>575</v>
      </c>
      <c r="L270" s="15" t="s">
        <v>314</v>
      </c>
      <c r="M270" s="82"/>
      <c r="N270" s="118"/>
    </row>
    <row r="271">
      <c r="A271" s="206">
        <v>270.0</v>
      </c>
      <c r="B271" s="26" t="s">
        <v>979</v>
      </c>
      <c r="C271" s="23"/>
      <c r="D271" s="23"/>
      <c r="E271" s="24" t="s">
        <v>414</v>
      </c>
      <c r="F271" s="24" t="s">
        <v>36</v>
      </c>
      <c r="G271" s="24" t="s">
        <v>37</v>
      </c>
      <c r="H271" s="22" t="b">
        <v>0</v>
      </c>
      <c r="I271" s="25">
        <v>1.9173458238E10</v>
      </c>
      <c r="J271" s="26" t="s">
        <v>392</v>
      </c>
      <c r="K271" s="26" t="s">
        <v>393</v>
      </c>
      <c r="L271" s="26" t="s">
        <v>40</v>
      </c>
      <c r="M271" s="79"/>
      <c r="N271" s="85"/>
    </row>
    <row r="272">
      <c r="A272" s="204">
        <v>271.0</v>
      </c>
      <c r="B272" s="15" t="s">
        <v>982</v>
      </c>
      <c r="C272" s="12"/>
      <c r="D272" s="12"/>
      <c r="E272" s="13" t="s">
        <v>414</v>
      </c>
      <c r="F272" s="13" t="s">
        <v>60</v>
      </c>
      <c r="G272" s="13" t="s">
        <v>37</v>
      </c>
      <c r="H272" s="10" t="b">
        <v>0</v>
      </c>
      <c r="I272" s="14">
        <v>1.619663077E10</v>
      </c>
      <c r="J272" s="15" t="s">
        <v>983</v>
      </c>
      <c r="K272" s="15" t="s">
        <v>698</v>
      </c>
      <c r="L272" s="15" t="s">
        <v>194</v>
      </c>
      <c r="M272" s="82"/>
      <c r="N272" s="118"/>
    </row>
    <row r="273">
      <c r="A273" s="206">
        <v>272.0</v>
      </c>
      <c r="B273" s="130" t="s">
        <v>984</v>
      </c>
      <c r="C273" s="23"/>
      <c r="D273" s="23"/>
      <c r="E273" s="24" t="s">
        <v>414</v>
      </c>
      <c r="F273" s="24" t="s">
        <v>36</v>
      </c>
      <c r="G273" s="24" t="s">
        <v>37</v>
      </c>
      <c r="H273" s="22" t="b">
        <v>0</v>
      </c>
      <c r="I273" s="25">
        <v>1.9734941638E10</v>
      </c>
      <c r="J273" s="26" t="s">
        <v>985</v>
      </c>
      <c r="K273" s="26" t="s">
        <v>986</v>
      </c>
      <c r="L273" s="26" t="s">
        <v>56</v>
      </c>
      <c r="M273" s="79"/>
      <c r="N273" s="85"/>
    </row>
    <row r="274">
      <c r="A274" s="204">
        <v>273.0</v>
      </c>
      <c r="B274" s="15" t="s">
        <v>987</v>
      </c>
      <c r="C274" s="12"/>
      <c r="D274" s="12"/>
      <c r="E274" s="13" t="s">
        <v>414</v>
      </c>
      <c r="F274" s="13" t="s">
        <v>60</v>
      </c>
      <c r="G274" s="13" t="s">
        <v>53</v>
      </c>
      <c r="H274" s="10" t="b">
        <v>0</v>
      </c>
      <c r="I274" s="14">
        <v>1.6173898387E10</v>
      </c>
      <c r="J274" s="15" t="s">
        <v>988</v>
      </c>
      <c r="K274" s="15" t="s">
        <v>989</v>
      </c>
      <c r="L274" s="15" t="s">
        <v>301</v>
      </c>
      <c r="M274" s="82"/>
      <c r="N274" s="118"/>
    </row>
    <row r="275">
      <c r="A275" s="206">
        <v>274.0</v>
      </c>
      <c r="B275" s="26" t="s">
        <v>990</v>
      </c>
      <c r="C275" s="23"/>
      <c r="D275" s="23"/>
      <c r="E275" s="24" t="s">
        <v>414</v>
      </c>
      <c r="F275" s="24" t="s">
        <v>60</v>
      </c>
      <c r="G275" s="24" t="s">
        <v>37</v>
      </c>
      <c r="H275" s="22" t="b">
        <v>0</v>
      </c>
      <c r="I275" s="25">
        <v>1.9175381951E10</v>
      </c>
      <c r="J275" s="26" t="s">
        <v>991</v>
      </c>
      <c r="K275" s="26" t="s">
        <v>89</v>
      </c>
      <c r="L275" s="26" t="s">
        <v>77</v>
      </c>
      <c r="M275" s="79"/>
      <c r="N275" s="85"/>
    </row>
    <row r="276">
      <c r="A276" s="204">
        <v>275.0</v>
      </c>
      <c r="B276" s="15" t="s">
        <v>992</v>
      </c>
      <c r="C276" s="12"/>
      <c r="D276" s="12"/>
      <c r="E276" s="13" t="s">
        <v>414</v>
      </c>
      <c r="F276" s="13" t="s">
        <v>60</v>
      </c>
      <c r="G276" s="13" t="s">
        <v>37</v>
      </c>
      <c r="H276" s="10" t="b">
        <v>0</v>
      </c>
      <c r="I276" s="14">
        <v>1.9542247208E10</v>
      </c>
      <c r="J276" s="15" t="s">
        <v>993</v>
      </c>
      <c r="K276" s="15" t="s">
        <v>994</v>
      </c>
      <c r="L276" s="15" t="s">
        <v>40</v>
      </c>
      <c r="M276" s="82"/>
      <c r="N276" s="118"/>
    </row>
    <row r="277">
      <c r="A277" s="206">
        <v>276.0</v>
      </c>
      <c r="B277" s="26" t="s">
        <v>995</v>
      </c>
      <c r="C277" s="23"/>
      <c r="D277" s="23"/>
      <c r="E277" s="24" t="s">
        <v>414</v>
      </c>
      <c r="F277" s="24" t="s">
        <v>60</v>
      </c>
      <c r="G277" s="24" t="s">
        <v>37</v>
      </c>
      <c r="H277" s="22" t="b">
        <v>0</v>
      </c>
      <c r="I277" s="25">
        <v>1.301910966E10</v>
      </c>
      <c r="J277" s="26" t="s">
        <v>996</v>
      </c>
      <c r="K277" s="26" t="s">
        <v>997</v>
      </c>
      <c r="L277" s="26" t="s">
        <v>925</v>
      </c>
      <c r="M277" s="79"/>
      <c r="N277" s="85"/>
    </row>
    <row r="278">
      <c r="A278" s="204">
        <v>277.0</v>
      </c>
      <c r="B278" s="153" t="s">
        <v>998</v>
      </c>
      <c r="C278" s="12"/>
      <c r="D278" s="12"/>
      <c r="E278" s="13" t="s">
        <v>414</v>
      </c>
      <c r="F278" s="13" t="s">
        <v>60</v>
      </c>
      <c r="G278" s="13" t="s">
        <v>53</v>
      </c>
      <c r="H278" s="10" t="b">
        <v>1</v>
      </c>
      <c r="I278" s="14">
        <v>1.5208384766E10</v>
      </c>
      <c r="J278" s="15" t="s">
        <v>999</v>
      </c>
      <c r="K278" s="15" t="s">
        <v>504</v>
      </c>
      <c r="L278" s="15" t="s">
        <v>505</v>
      </c>
      <c r="M278" s="82"/>
      <c r="N278" s="118"/>
    </row>
    <row r="279">
      <c r="A279" s="206">
        <v>278.0</v>
      </c>
      <c r="B279" s="26" t="s">
        <v>1000</v>
      </c>
      <c r="C279" s="23"/>
      <c r="D279" s="23"/>
      <c r="E279" s="24" t="s">
        <v>414</v>
      </c>
      <c r="F279" s="24" t="s">
        <v>36</v>
      </c>
      <c r="G279" s="24" t="s">
        <v>37</v>
      </c>
      <c r="H279" s="22" t="b">
        <v>0</v>
      </c>
      <c r="I279" s="25">
        <v>1.5037668162E10</v>
      </c>
      <c r="J279" s="26" t="s">
        <v>1001</v>
      </c>
      <c r="K279" s="26" t="s">
        <v>1002</v>
      </c>
      <c r="L279" s="26" t="s">
        <v>63</v>
      </c>
      <c r="M279" s="79"/>
      <c r="N279" s="85"/>
    </row>
    <row r="280">
      <c r="A280" s="204">
        <v>279.0</v>
      </c>
      <c r="B280" s="15" t="s">
        <v>1003</v>
      </c>
      <c r="C280" s="12"/>
      <c r="D280" s="12"/>
      <c r="E280" s="13" t="s">
        <v>414</v>
      </c>
      <c r="F280" s="13" t="s">
        <v>60</v>
      </c>
      <c r="G280" s="13" t="s">
        <v>37</v>
      </c>
      <c r="H280" s="10" t="b">
        <v>0</v>
      </c>
      <c r="I280" s="14">
        <v>1.9178590692E10</v>
      </c>
      <c r="J280" s="15" t="s">
        <v>1004</v>
      </c>
      <c r="K280" s="15" t="s">
        <v>552</v>
      </c>
      <c r="L280" s="15" t="s">
        <v>40</v>
      </c>
      <c r="M280" s="82"/>
      <c r="N280" s="118"/>
    </row>
    <row r="281">
      <c r="A281" s="206">
        <v>280.0</v>
      </c>
      <c r="B281" s="26" t="s">
        <v>1005</v>
      </c>
      <c r="C281" s="23"/>
      <c r="D281" s="23"/>
      <c r="E281" s="24" t="s">
        <v>414</v>
      </c>
      <c r="F281" s="24" t="s">
        <v>36</v>
      </c>
      <c r="G281" s="24" t="s">
        <v>37</v>
      </c>
      <c r="H281" s="22" t="b">
        <v>0</v>
      </c>
      <c r="I281" s="25">
        <v>1.8084394632E10</v>
      </c>
      <c r="J281" s="26" t="s">
        <v>1006</v>
      </c>
      <c r="K281" s="26" t="s">
        <v>1007</v>
      </c>
      <c r="L281" s="26" t="s">
        <v>505</v>
      </c>
      <c r="M281" s="79"/>
      <c r="N281" s="85"/>
    </row>
    <row r="282">
      <c r="A282" s="204">
        <v>281.0</v>
      </c>
      <c r="B282" s="15" t="s">
        <v>1008</v>
      </c>
      <c r="C282" s="12"/>
      <c r="D282" s="12"/>
      <c r="E282" s="13" t="s">
        <v>414</v>
      </c>
      <c r="F282" s="13" t="s">
        <v>36</v>
      </c>
      <c r="G282" s="13" t="s">
        <v>53</v>
      </c>
      <c r="H282" s="10" t="b">
        <v>0</v>
      </c>
      <c r="I282" s="14">
        <v>1.310904991E10</v>
      </c>
      <c r="J282" s="15" t="s">
        <v>1009</v>
      </c>
      <c r="K282" s="15" t="s">
        <v>250</v>
      </c>
      <c r="L282" s="15" t="s">
        <v>194</v>
      </c>
      <c r="M282" s="82"/>
      <c r="N282" s="118"/>
    </row>
    <row r="283">
      <c r="A283" s="206">
        <v>282.0</v>
      </c>
      <c r="B283" s="130" t="s">
        <v>1010</v>
      </c>
      <c r="C283" s="23"/>
      <c r="D283" s="23"/>
      <c r="E283" s="24" t="s">
        <v>414</v>
      </c>
      <c r="F283" s="24" t="s">
        <v>60</v>
      </c>
      <c r="G283" s="24" t="s">
        <v>37</v>
      </c>
      <c r="H283" s="22" t="b">
        <v>0</v>
      </c>
      <c r="I283" s="25">
        <v>1.3127203028E10</v>
      </c>
      <c r="J283" s="26" t="s">
        <v>1011</v>
      </c>
      <c r="K283" s="26" t="s">
        <v>626</v>
      </c>
      <c r="L283" s="26" t="s">
        <v>314</v>
      </c>
      <c r="M283" s="79"/>
      <c r="N283" s="85"/>
    </row>
    <row r="284">
      <c r="A284" s="204">
        <v>283.0</v>
      </c>
      <c r="B284" s="15" t="s">
        <v>1012</v>
      </c>
      <c r="C284" s="12"/>
      <c r="D284" s="12"/>
      <c r="E284" s="13" t="s">
        <v>414</v>
      </c>
      <c r="F284" s="13" t="s">
        <v>60</v>
      </c>
      <c r="G284" s="13" t="s">
        <v>37</v>
      </c>
      <c r="H284" s="10" t="b">
        <v>0</v>
      </c>
      <c r="I284" s="14">
        <v>1.3522359571E10</v>
      </c>
      <c r="J284" s="15" t="s">
        <v>1013</v>
      </c>
      <c r="K284" s="15" t="s">
        <v>1014</v>
      </c>
      <c r="L284" s="15" t="s">
        <v>40</v>
      </c>
      <c r="M284" s="82"/>
      <c r="N284" s="118"/>
    </row>
    <row r="285">
      <c r="A285" s="206">
        <v>284.0</v>
      </c>
      <c r="B285" s="26" t="s">
        <v>1015</v>
      </c>
      <c r="C285" s="23"/>
      <c r="D285" s="23"/>
      <c r="E285" s="24" t="s">
        <v>414</v>
      </c>
      <c r="F285" s="24" t="s">
        <v>60</v>
      </c>
      <c r="G285" s="24" t="s">
        <v>37</v>
      </c>
      <c r="H285" s="22" t="b">
        <v>0</v>
      </c>
      <c r="I285" s="25">
        <v>1.817300111E10</v>
      </c>
      <c r="J285" s="26" t="s">
        <v>1016</v>
      </c>
      <c r="K285" s="26" t="s">
        <v>360</v>
      </c>
      <c r="L285" s="26" t="s">
        <v>40</v>
      </c>
      <c r="M285" s="79"/>
      <c r="N285" s="85"/>
    </row>
    <row r="286">
      <c r="A286" s="204">
        <v>285.0</v>
      </c>
      <c r="B286" s="15" t="s">
        <v>1017</v>
      </c>
      <c r="C286" s="12"/>
      <c r="D286" s="12"/>
      <c r="E286" s="13" t="s">
        <v>414</v>
      </c>
      <c r="F286" s="13" t="s">
        <v>36</v>
      </c>
      <c r="G286" s="13" t="s">
        <v>53</v>
      </c>
      <c r="H286" s="10" t="b">
        <v>1</v>
      </c>
      <c r="I286" s="14">
        <v>1.3105603943E10</v>
      </c>
      <c r="J286" s="15" t="s">
        <v>1018</v>
      </c>
      <c r="K286" s="15" t="s">
        <v>197</v>
      </c>
      <c r="L286" s="15" t="s">
        <v>198</v>
      </c>
      <c r="M286" s="82"/>
      <c r="N286" s="118"/>
    </row>
    <row r="287">
      <c r="A287" s="206">
        <v>286.0</v>
      </c>
      <c r="B287" s="26" t="s">
        <v>1019</v>
      </c>
      <c r="C287" s="23"/>
      <c r="D287" s="23"/>
      <c r="E287" s="24" t="s">
        <v>414</v>
      </c>
      <c r="F287" s="24" t="s">
        <v>60</v>
      </c>
      <c r="G287" s="24" t="s">
        <v>37</v>
      </c>
      <c r="H287" s="22" t="b">
        <v>0</v>
      </c>
      <c r="I287" s="25">
        <v>1.3238231249E10</v>
      </c>
      <c r="J287" s="26" t="s">
        <v>1020</v>
      </c>
      <c r="K287" s="26" t="s">
        <v>1021</v>
      </c>
      <c r="L287" s="26" t="s">
        <v>194</v>
      </c>
      <c r="M287" s="79"/>
      <c r="N287" s="85"/>
    </row>
    <row r="288">
      <c r="A288" s="204">
        <v>287.0</v>
      </c>
      <c r="B288" s="153" t="s">
        <v>1022</v>
      </c>
      <c r="C288" s="12"/>
      <c r="D288" s="12"/>
      <c r="E288" s="13" t="s">
        <v>414</v>
      </c>
      <c r="F288" s="13" t="s">
        <v>36</v>
      </c>
      <c r="G288" s="13" t="s">
        <v>37</v>
      </c>
      <c r="H288" s="10" t="b">
        <v>0</v>
      </c>
      <c r="I288" s="14">
        <v>1.4049560595E10</v>
      </c>
      <c r="J288" s="15" t="s">
        <v>1023</v>
      </c>
      <c r="K288" s="15" t="s">
        <v>168</v>
      </c>
      <c r="L288" s="15" t="s">
        <v>124</v>
      </c>
      <c r="M288" s="82"/>
      <c r="N288" s="118"/>
    </row>
    <row r="289">
      <c r="A289" s="206">
        <v>288.0</v>
      </c>
      <c r="B289" s="26" t="s">
        <v>1024</v>
      </c>
      <c r="C289" s="23"/>
      <c r="D289" s="23"/>
      <c r="E289" s="24" t="s">
        <v>414</v>
      </c>
      <c r="F289" s="24" t="s">
        <v>60</v>
      </c>
      <c r="G289" s="24" t="s">
        <v>37</v>
      </c>
      <c r="H289" s="22" t="b">
        <v>0</v>
      </c>
      <c r="I289" s="25">
        <v>1.21543524E10</v>
      </c>
      <c r="J289" s="26" t="s">
        <v>1025</v>
      </c>
      <c r="K289" s="26" t="s">
        <v>746</v>
      </c>
      <c r="L289" s="26" t="s">
        <v>70</v>
      </c>
      <c r="M289" s="79"/>
      <c r="N289" s="85"/>
    </row>
    <row r="290">
      <c r="A290" s="204">
        <v>289.0</v>
      </c>
      <c r="B290" s="15" t="s">
        <v>1026</v>
      </c>
      <c r="C290" s="12"/>
      <c r="D290" s="12"/>
      <c r="E290" s="13" t="s">
        <v>414</v>
      </c>
      <c r="F290" s="13" t="s">
        <v>60</v>
      </c>
      <c r="G290" s="13" t="s">
        <v>53</v>
      </c>
      <c r="H290" s="10" t="b">
        <v>0</v>
      </c>
      <c r="I290" s="14">
        <v>1.3154048754E10</v>
      </c>
      <c r="J290" s="15" t="s">
        <v>1027</v>
      </c>
      <c r="K290" s="15" t="s">
        <v>1028</v>
      </c>
      <c r="L290" s="15" t="s">
        <v>63</v>
      </c>
      <c r="M290" s="82"/>
      <c r="N290" s="118"/>
    </row>
    <row r="291">
      <c r="A291" s="206">
        <v>290.0</v>
      </c>
      <c r="B291" s="26" t="s">
        <v>1029</v>
      </c>
      <c r="C291" s="23"/>
      <c r="D291" s="23"/>
      <c r="E291" s="24" t="s">
        <v>414</v>
      </c>
      <c r="F291" s="24" t="s">
        <v>36</v>
      </c>
      <c r="G291" s="24" t="s">
        <v>37</v>
      </c>
      <c r="H291" s="22" t="b">
        <v>0</v>
      </c>
      <c r="I291" s="25">
        <v>1.6507401323E10</v>
      </c>
      <c r="J291" s="26" t="s">
        <v>1030</v>
      </c>
      <c r="K291" s="26" t="s">
        <v>213</v>
      </c>
      <c r="L291" s="26" t="s">
        <v>40</v>
      </c>
      <c r="M291" s="79"/>
      <c r="N291" s="85"/>
    </row>
    <row r="292">
      <c r="A292" s="204">
        <v>291.0</v>
      </c>
      <c r="B292" s="15" t="s">
        <v>1031</v>
      </c>
      <c r="C292" s="12"/>
      <c r="D292" s="12"/>
      <c r="E292" s="13" t="s">
        <v>414</v>
      </c>
      <c r="F292" s="13" t="s">
        <v>60</v>
      </c>
      <c r="G292" s="13" t="s">
        <v>37</v>
      </c>
      <c r="H292" s="10" t="b">
        <v>0</v>
      </c>
      <c r="I292" s="14">
        <v>4.47497148249E11</v>
      </c>
      <c r="J292" s="15" t="s">
        <v>1032</v>
      </c>
      <c r="K292" s="15" t="s">
        <v>89</v>
      </c>
      <c r="L292" s="15" t="s">
        <v>77</v>
      </c>
      <c r="M292" s="82"/>
      <c r="N292" s="118"/>
    </row>
    <row r="293">
      <c r="A293" s="206">
        <v>292.0</v>
      </c>
      <c r="B293" s="130" t="s">
        <v>1033</v>
      </c>
      <c r="C293" s="23"/>
      <c r="D293" s="23"/>
      <c r="E293" s="24" t="s">
        <v>414</v>
      </c>
      <c r="F293" s="24" t="s">
        <v>60</v>
      </c>
      <c r="G293" s="24" t="s">
        <v>37</v>
      </c>
      <c r="H293" s="22" t="b">
        <v>0</v>
      </c>
      <c r="I293" s="25">
        <v>1.5163191243E10</v>
      </c>
      <c r="J293" s="26" t="s">
        <v>1034</v>
      </c>
      <c r="K293" s="26" t="s">
        <v>418</v>
      </c>
      <c r="L293" s="26" t="s">
        <v>77</v>
      </c>
      <c r="M293" s="79"/>
      <c r="N293" s="85"/>
    </row>
    <row r="294">
      <c r="A294" s="204">
        <v>293.0</v>
      </c>
      <c r="B294" s="15" t="s">
        <v>1035</v>
      </c>
      <c r="C294" s="12"/>
      <c r="D294" s="12"/>
      <c r="E294" s="13" t="s">
        <v>414</v>
      </c>
      <c r="F294" s="13" t="s">
        <v>60</v>
      </c>
      <c r="G294" s="13" t="s">
        <v>53</v>
      </c>
      <c r="H294" s="10" t="b">
        <v>1</v>
      </c>
      <c r="I294" s="14">
        <v>1.51652847E10</v>
      </c>
      <c r="J294" s="15" t="s">
        <v>1036</v>
      </c>
      <c r="K294" s="15" t="s">
        <v>319</v>
      </c>
      <c r="L294" s="15" t="s">
        <v>77</v>
      </c>
      <c r="M294" s="82"/>
      <c r="N294" s="118"/>
    </row>
    <row r="295">
      <c r="A295" s="206">
        <v>294.0</v>
      </c>
      <c r="B295" s="26" t="s">
        <v>1037</v>
      </c>
      <c r="C295" s="23"/>
      <c r="D295" s="23"/>
      <c r="E295" s="24" t="s">
        <v>414</v>
      </c>
      <c r="F295" s="24" t="s">
        <v>36</v>
      </c>
      <c r="G295" s="24" t="s">
        <v>37</v>
      </c>
      <c r="H295" s="22" t="b">
        <v>0</v>
      </c>
      <c r="I295" s="25">
        <v>1.6318075351E10</v>
      </c>
      <c r="J295" s="26" t="s">
        <v>1038</v>
      </c>
      <c r="K295" s="26" t="s">
        <v>762</v>
      </c>
      <c r="L295" s="26" t="s">
        <v>40</v>
      </c>
      <c r="M295" s="79"/>
      <c r="N295" s="85"/>
    </row>
    <row r="296">
      <c r="A296" s="204">
        <v>295.0</v>
      </c>
      <c r="B296" s="15" t="s">
        <v>1039</v>
      </c>
      <c r="C296" s="12"/>
      <c r="D296" s="12"/>
      <c r="E296" s="13" t="s">
        <v>414</v>
      </c>
      <c r="F296" s="13" t="s">
        <v>36</v>
      </c>
      <c r="G296" s="13" t="s">
        <v>37</v>
      </c>
      <c r="H296" s="10" t="b">
        <v>0</v>
      </c>
      <c r="I296" s="14">
        <v>1.914330333E10</v>
      </c>
      <c r="J296" s="15" t="s">
        <v>1040</v>
      </c>
      <c r="K296" s="15" t="s">
        <v>1041</v>
      </c>
      <c r="L296" s="15" t="s">
        <v>77</v>
      </c>
      <c r="M296" s="82"/>
      <c r="N296" s="118"/>
    </row>
    <row r="297">
      <c r="A297" s="206">
        <v>296.0</v>
      </c>
      <c r="B297" s="26" t="s">
        <v>188</v>
      </c>
      <c r="C297" s="23"/>
      <c r="D297" s="23"/>
      <c r="E297" s="24" t="s">
        <v>414</v>
      </c>
      <c r="F297" s="24" t="s">
        <v>60</v>
      </c>
      <c r="G297" s="24" t="s">
        <v>37</v>
      </c>
      <c r="H297" s="22" t="b">
        <v>0</v>
      </c>
      <c r="I297" s="25">
        <v>1.6143780159E10</v>
      </c>
      <c r="J297" s="26" t="s">
        <v>189</v>
      </c>
      <c r="K297" s="26" t="s">
        <v>190</v>
      </c>
      <c r="L297" s="26" t="s">
        <v>40</v>
      </c>
      <c r="M297" s="79"/>
      <c r="N297" s="85"/>
    </row>
    <row r="298">
      <c r="A298" s="204">
        <v>297.0</v>
      </c>
      <c r="B298" s="153" t="s">
        <v>1042</v>
      </c>
      <c r="C298" s="12"/>
      <c r="D298" s="12"/>
      <c r="E298" s="13" t="s">
        <v>414</v>
      </c>
      <c r="F298" s="13" t="s">
        <v>60</v>
      </c>
      <c r="G298" s="13" t="s">
        <v>53</v>
      </c>
      <c r="H298" s="10" t="b">
        <v>0</v>
      </c>
      <c r="I298" s="14">
        <v>1.516423461E10</v>
      </c>
      <c r="J298" s="15" t="s">
        <v>1043</v>
      </c>
      <c r="K298" s="15" t="s">
        <v>319</v>
      </c>
      <c r="L298" s="15" t="s">
        <v>77</v>
      </c>
      <c r="M298" s="82"/>
      <c r="N298" s="118"/>
    </row>
    <row r="299">
      <c r="A299" s="206">
        <v>298.0</v>
      </c>
      <c r="B299" s="26" t="s">
        <v>191</v>
      </c>
      <c r="C299" s="23"/>
      <c r="D299" s="23"/>
      <c r="E299" s="24" t="s">
        <v>414</v>
      </c>
      <c r="F299" s="24" t="s">
        <v>36</v>
      </c>
      <c r="G299" s="24" t="s">
        <v>37</v>
      </c>
      <c r="H299" s="22" t="b">
        <v>0</v>
      </c>
      <c r="I299" s="25">
        <v>1.6149756103E10</v>
      </c>
      <c r="J299" s="26" t="s">
        <v>350</v>
      </c>
      <c r="K299" s="26" t="s">
        <v>190</v>
      </c>
      <c r="L299" s="26" t="s">
        <v>40</v>
      </c>
      <c r="M299" s="79"/>
      <c r="N299" s="85"/>
    </row>
    <row r="300">
      <c r="A300" s="204">
        <v>299.0</v>
      </c>
      <c r="B300" s="15" t="s">
        <v>1044</v>
      </c>
      <c r="C300" s="12"/>
      <c r="D300" s="12"/>
      <c r="E300" s="13" t="s">
        <v>414</v>
      </c>
      <c r="F300" s="13" t="s">
        <v>36</v>
      </c>
      <c r="G300" s="13" t="s">
        <v>37</v>
      </c>
      <c r="H300" s="10" t="b">
        <v>0</v>
      </c>
      <c r="I300" s="14">
        <v>1.3013253969E10</v>
      </c>
      <c r="J300" s="15" t="s">
        <v>1045</v>
      </c>
      <c r="K300" s="15" t="s">
        <v>1046</v>
      </c>
      <c r="L300" s="15" t="s">
        <v>1047</v>
      </c>
      <c r="M300" s="82"/>
      <c r="N300" s="118"/>
    </row>
    <row r="301">
      <c r="A301" s="206">
        <v>300.0</v>
      </c>
      <c r="B301" s="26" t="s">
        <v>1048</v>
      </c>
      <c r="C301" s="23"/>
      <c r="D301" s="23"/>
      <c r="E301" s="24" t="s">
        <v>414</v>
      </c>
      <c r="F301" s="24" t="s">
        <v>36</v>
      </c>
      <c r="G301" s="24" t="s">
        <v>37</v>
      </c>
      <c r="H301" s="22" t="b">
        <v>0</v>
      </c>
      <c r="I301" s="25">
        <v>1.3109903672E10</v>
      </c>
      <c r="J301" s="26" t="s">
        <v>1049</v>
      </c>
      <c r="K301" s="26" t="s">
        <v>233</v>
      </c>
      <c r="L301" s="26" t="s">
        <v>194</v>
      </c>
      <c r="M301" s="79"/>
      <c r="N301" s="85"/>
    </row>
    <row r="302">
      <c r="A302" s="204">
        <v>301.0</v>
      </c>
      <c r="B302" s="15" t="s">
        <v>1050</v>
      </c>
      <c r="C302" s="12"/>
      <c r="D302" s="12"/>
      <c r="E302" s="13" t="s">
        <v>414</v>
      </c>
      <c r="F302" s="13" t="s">
        <v>36</v>
      </c>
      <c r="G302" s="13" t="s">
        <v>53</v>
      </c>
      <c r="H302" s="10" t="b">
        <v>1</v>
      </c>
      <c r="I302" s="14">
        <v>9.72584490087E11</v>
      </c>
      <c r="J302" s="15" t="s">
        <v>1051</v>
      </c>
      <c r="K302" s="15" t="s">
        <v>139</v>
      </c>
      <c r="L302" s="15" t="s">
        <v>109</v>
      </c>
      <c r="M302" s="82"/>
      <c r="N302" s="118"/>
    </row>
    <row r="303">
      <c r="A303" s="206">
        <v>302.0</v>
      </c>
      <c r="B303" s="130" t="s">
        <v>1052</v>
      </c>
      <c r="C303" s="23"/>
      <c r="D303" s="23"/>
      <c r="E303" s="24" t="s">
        <v>414</v>
      </c>
      <c r="F303" s="24" t="s">
        <v>36</v>
      </c>
      <c r="G303" s="24" t="s">
        <v>37</v>
      </c>
      <c r="H303" s="22" t="b">
        <v>0</v>
      </c>
      <c r="I303" s="25">
        <v>9.72538777203E11</v>
      </c>
      <c r="J303" s="26" t="s">
        <v>1053</v>
      </c>
      <c r="K303" s="26" t="s">
        <v>1054</v>
      </c>
      <c r="L303" s="26" t="s">
        <v>40</v>
      </c>
      <c r="M303" s="79"/>
      <c r="N303" s="85"/>
    </row>
    <row r="304">
      <c r="A304" s="204">
        <v>303.0</v>
      </c>
      <c r="B304" s="15" t="s">
        <v>1055</v>
      </c>
      <c r="C304" s="12"/>
      <c r="D304" s="12"/>
      <c r="E304" s="13" t="s">
        <v>414</v>
      </c>
      <c r="F304" s="13" t="s">
        <v>36</v>
      </c>
      <c r="G304" s="13" t="s">
        <v>37</v>
      </c>
      <c r="H304" s="10" t="b">
        <v>0</v>
      </c>
      <c r="I304" s="14">
        <v>1.3057467015E10</v>
      </c>
      <c r="J304" s="15" t="s">
        <v>1056</v>
      </c>
      <c r="K304" s="15" t="s">
        <v>762</v>
      </c>
      <c r="L304" s="15" t="s">
        <v>40</v>
      </c>
      <c r="M304" s="82"/>
      <c r="N304" s="118"/>
    </row>
    <row r="305">
      <c r="A305" s="206">
        <v>304.0</v>
      </c>
      <c r="B305" s="26" t="s">
        <v>1057</v>
      </c>
      <c r="C305" s="23"/>
      <c r="D305" s="23"/>
      <c r="E305" s="24" t="s">
        <v>414</v>
      </c>
      <c r="F305" s="24" t="s">
        <v>36</v>
      </c>
      <c r="G305" s="24" t="s">
        <v>37</v>
      </c>
      <c r="H305" s="22" t="b">
        <v>0</v>
      </c>
      <c r="I305" s="25">
        <v>1.7733078108E10</v>
      </c>
      <c r="J305" s="26" t="s">
        <v>1058</v>
      </c>
      <c r="K305" s="26" t="s">
        <v>313</v>
      </c>
      <c r="L305" s="26" t="s">
        <v>314</v>
      </c>
      <c r="M305" s="79"/>
      <c r="N305" s="85"/>
    </row>
    <row r="306">
      <c r="A306" s="204">
        <v>305.0</v>
      </c>
      <c r="B306" s="15" t="s">
        <v>1059</v>
      </c>
      <c r="C306" s="12"/>
      <c r="D306" s="12"/>
      <c r="E306" s="13" t="s">
        <v>414</v>
      </c>
      <c r="F306" s="13" t="s">
        <v>36</v>
      </c>
      <c r="G306" s="13" t="s">
        <v>53</v>
      </c>
      <c r="H306" s="10" t="b">
        <v>0</v>
      </c>
      <c r="I306" s="14">
        <v>1.6142353825E10</v>
      </c>
      <c r="J306" s="15" t="s">
        <v>1060</v>
      </c>
      <c r="K306" s="15" t="s">
        <v>139</v>
      </c>
      <c r="L306" s="15" t="s">
        <v>109</v>
      </c>
      <c r="M306" s="82"/>
      <c r="N306" s="118"/>
    </row>
    <row r="307">
      <c r="A307" s="206">
        <v>306.0</v>
      </c>
      <c r="B307" s="26" t="s">
        <v>1061</v>
      </c>
      <c r="C307" s="23"/>
      <c r="D307" s="23"/>
      <c r="E307" s="24" t="s">
        <v>414</v>
      </c>
      <c r="F307" s="24" t="s">
        <v>60</v>
      </c>
      <c r="G307" s="24" t="s">
        <v>37</v>
      </c>
      <c r="H307" s="22" t="b">
        <v>0</v>
      </c>
      <c r="I307" s="25">
        <v>1.7733078108E10</v>
      </c>
      <c r="J307" s="26" t="s">
        <v>1062</v>
      </c>
      <c r="K307" s="26" t="s">
        <v>313</v>
      </c>
      <c r="L307" s="26" t="s">
        <v>314</v>
      </c>
      <c r="M307" s="79"/>
      <c r="N307" s="85"/>
    </row>
    <row r="308">
      <c r="A308" s="204">
        <v>307.0</v>
      </c>
      <c r="B308" s="153" t="s">
        <v>1063</v>
      </c>
      <c r="C308" s="12"/>
      <c r="D308" s="12"/>
      <c r="E308" s="13" t="s">
        <v>414</v>
      </c>
      <c r="F308" s="13" t="s">
        <v>36</v>
      </c>
      <c r="G308" s="13" t="s">
        <v>37</v>
      </c>
      <c r="H308" s="10" t="b">
        <v>0</v>
      </c>
      <c r="I308" s="14">
        <v>1.7818564043E10</v>
      </c>
      <c r="J308" s="15" t="s">
        <v>1064</v>
      </c>
      <c r="K308" s="15" t="s">
        <v>1065</v>
      </c>
      <c r="L308" s="15" t="s">
        <v>301</v>
      </c>
      <c r="M308" s="82"/>
      <c r="N308" s="118"/>
    </row>
    <row r="309">
      <c r="A309" s="206">
        <v>308.0</v>
      </c>
      <c r="B309" s="26" t="s">
        <v>1066</v>
      </c>
      <c r="C309" s="23"/>
      <c r="D309" s="23"/>
      <c r="E309" s="24" t="s">
        <v>414</v>
      </c>
      <c r="F309" s="24" t="s">
        <v>60</v>
      </c>
      <c r="G309" s="24" t="s">
        <v>37</v>
      </c>
      <c r="H309" s="22" t="b">
        <v>0</v>
      </c>
      <c r="I309" s="25">
        <v>1.9144191449E10</v>
      </c>
      <c r="J309" s="26" t="s">
        <v>1067</v>
      </c>
      <c r="K309" s="26" t="s">
        <v>1068</v>
      </c>
      <c r="L309" s="26" t="s">
        <v>56</v>
      </c>
      <c r="M309" s="79"/>
      <c r="N309" s="85"/>
    </row>
    <row r="310">
      <c r="A310" s="204">
        <v>309.0</v>
      </c>
      <c r="B310" s="15" t="s">
        <v>1069</v>
      </c>
      <c r="C310" s="12"/>
      <c r="D310" s="12"/>
      <c r="E310" s="13" t="s">
        <v>414</v>
      </c>
      <c r="F310" s="13" t="s">
        <v>36</v>
      </c>
      <c r="G310" s="13" t="s">
        <v>53</v>
      </c>
      <c r="H310" s="10" t="b">
        <v>0</v>
      </c>
      <c r="I310" s="14">
        <v>1.6479770222E10</v>
      </c>
      <c r="J310" s="15" t="s">
        <v>1070</v>
      </c>
      <c r="K310" s="15" t="s">
        <v>197</v>
      </c>
      <c r="L310" s="15" t="s">
        <v>198</v>
      </c>
      <c r="M310" s="82"/>
      <c r="N310" s="118"/>
    </row>
    <row r="311">
      <c r="A311" s="206">
        <v>310.0</v>
      </c>
      <c r="B311" s="26" t="s">
        <v>1071</v>
      </c>
      <c r="C311" s="23"/>
      <c r="D311" s="23"/>
      <c r="E311" s="24" t="s">
        <v>414</v>
      </c>
      <c r="F311" s="24" t="s">
        <v>36</v>
      </c>
      <c r="G311" s="24" t="s">
        <v>37</v>
      </c>
      <c r="H311" s="22" t="b">
        <v>0</v>
      </c>
      <c r="I311" s="25">
        <v>1.773909746E10</v>
      </c>
      <c r="J311" s="26" t="s">
        <v>1072</v>
      </c>
      <c r="K311" s="26" t="s">
        <v>1073</v>
      </c>
      <c r="L311" s="26" t="s">
        <v>40</v>
      </c>
      <c r="M311" s="79"/>
      <c r="N311" s="85"/>
    </row>
    <row r="312">
      <c r="A312" s="204">
        <v>311.0</v>
      </c>
      <c r="B312" s="15" t="s">
        <v>1074</v>
      </c>
      <c r="C312" s="12"/>
      <c r="D312" s="12"/>
      <c r="E312" s="13" t="s">
        <v>414</v>
      </c>
      <c r="F312" s="13" t="s">
        <v>60</v>
      </c>
      <c r="G312" s="13" t="s">
        <v>37</v>
      </c>
      <c r="H312" s="10" t="b">
        <v>0</v>
      </c>
      <c r="I312" s="14">
        <v>1.3107704685E10</v>
      </c>
      <c r="J312" s="15" t="s">
        <v>1075</v>
      </c>
      <c r="K312" s="15" t="s">
        <v>1076</v>
      </c>
      <c r="L312" s="15" t="s">
        <v>1077</v>
      </c>
      <c r="M312" s="82"/>
      <c r="N312" s="118"/>
    </row>
    <row r="313">
      <c r="A313" s="206">
        <v>312.0</v>
      </c>
      <c r="B313" s="130" t="s">
        <v>1078</v>
      </c>
      <c r="C313" s="23"/>
      <c r="D313" s="23"/>
      <c r="E313" s="24" t="s">
        <v>414</v>
      </c>
      <c r="F313" s="24" t="s">
        <v>36</v>
      </c>
      <c r="G313" s="24" t="s">
        <v>37</v>
      </c>
      <c r="H313" s="22" t="b">
        <v>0</v>
      </c>
      <c r="I313" s="25" t="s">
        <v>1079</v>
      </c>
      <c r="J313" s="26" t="s">
        <v>1079</v>
      </c>
      <c r="K313" s="26" t="s">
        <v>1080</v>
      </c>
      <c r="L313" s="26" t="s">
        <v>844</v>
      </c>
      <c r="M313" s="79"/>
      <c r="N313" s="85"/>
    </row>
    <row r="314">
      <c r="A314" s="204">
        <v>313.0</v>
      </c>
      <c r="B314" s="15" t="s">
        <v>1081</v>
      </c>
      <c r="C314" s="12"/>
      <c r="D314" s="12"/>
      <c r="E314" s="13" t="s">
        <v>414</v>
      </c>
      <c r="F314" s="13" t="s">
        <v>60</v>
      </c>
      <c r="G314" s="13" t="s">
        <v>53</v>
      </c>
      <c r="H314" s="10" t="b">
        <v>1</v>
      </c>
      <c r="I314" s="14">
        <v>9.72515165503E11</v>
      </c>
      <c r="J314" s="15" t="s">
        <v>1082</v>
      </c>
      <c r="K314" s="15" t="s">
        <v>522</v>
      </c>
      <c r="L314" s="15" t="s">
        <v>77</v>
      </c>
      <c r="M314" s="82"/>
      <c r="N314" s="118"/>
    </row>
    <row r="315">
      <c r="A315" s="206">
        <v>314.0</v>
      </c>
      <c r="B315" s="26" t="s">
        <v>338</v>
      </c>
      <c r="C315" s="23"/>
      <c r="D315" s="23"/>
      <c r="E315" s="24" t="s">
        <v>414</v>
      </c>
      <c r="F315" s="24" t="s">
        <v>60</v>
      </c>
      <c r="G315" s="24" t="s">
        <v>37</v>
      </c>
      <c r="H315" s="22" t="b">
        <v>0</v>
      </c>
      <c r="I315" s="25">
        <v>1.9546007815E10</v>
      </c>
      <c r="J315" s="26" t="s">
        <v>339</v>
      </c>
      <c r="K315" s="26" t="s">
        <v>340</v>
      </c>
      <c r="L315" s="26" t="s">
        <v>40</v>
      </c>
      <c r="M315" s="79"/>
      <c r="N315" s="85"/>
    </row>
    <row r="316">
      <c r="A316" s="204">
        <v>315.0</v>
      </c>
      <c r="B316" s="15" t="s">
        <v>1083</v>
      </c>
      <c r="C316" s="12"/>
      <c r="D316" s="12"/>
      <c r="E316" s="13" t="s">
        <v>414</v>
      </c>
      <c r="F316" s="13" t="s">
        <v>36</v>
      </c>
      <c r="G316" s="13" t="s">
        <v>37</v>
      </c>
      <c r="H316" s="10" t="b">
        <v>0</v>
      </c>
      <c r="I316" s="14">
        <v>1.847287466E10</v>
      </c>
      <c r="J316" s="15" t="s">
        <v>1084</v>
      </c>
      <c r="K316" s="15" t="s">
        <v>976</v>
      </c>
      <c r="L316" s="15" t="s">
        <v>314</v>
      </c>
      <c r="M316" s="82"/>
      <c r="N316" s="118"/>
    </row>
    <row r="317">
      <c r="A317" s="206">
        <v>316.0</v>
      </c>
      <c r="B317" s="26" t="s">
        <v>1085</v>
      </c>
      <c r="C317" s="23"/>
      <c r="D317" s="23"/>
      <c r="E317" s="24" t="s">
        <v>414</v>
      </c>
      <c r="F317" s="24" t="s">
        <v>36</v>
      </c>
      <c r="G317" s="24" t="s">
        <v>37</v>
      </c>
      <c r="H317" s="22" t="b">
        <v>0</v>
      </c>
      <c r="I317" s="25">
        <v>1.6103487132E10</v>
      </c>
      <c r="J317" s="26" t="s">
        <v>1086</v>
      </c>
      <c r="K317" s="26" t="s">
        <v>973</v>
      </c>
      <c r="L317" s="26" t="s">
        <v>70</v>
      </c>
      <c r="M317" s="79"/>
      <c r="N317" s="85"/>
    </row>
    <row r="318">
      <c r="A318" s="204">
        <v>317.0</v>
      </c>
      <c r="B318" s="254" t="s">
        <v>1087</v>
      </c>
      <c r="C318" s="238"/>
      <c r="D318" s="238"/>
      <c r="E318" s="255" t="s">
        <v>414</v>
      </c>
      <c r="F318" s="256" t="s">
        <v>60</v>
      </c>
      <c r="G318" s="256" t="s">
        <v>53</v>
      </c>
      <c r="H318" s="257" t="b">
        <v>0</v>
      </c>
      <c r="I318" s="258">
        <v>1.301502715E10</v>
      </c>
      <c r="J318" s="259" t="s">
        <v>1088</v>
      </c>
      <c r="K318" s="259" t="s">
        <v>83</v>
      </c>
      <c r="L318" s="259" t="s">
        <v>84</v>
      </c>
      <c r="M318" s="260"/>
      <c r="N318" s="261"/>
    </row>
    <row r="319">
      <c r="A319" s="206">
        <v>318.0</v>
      </c>
      <c r="B319" s="26" t="s">
        <v>1089</v>
      </c>
      <c r="C319" s="23"/>
      <c r="D319" s="23"/>
      <c r="E319" s="24" t="s">
        <v>414</v>
      </c>
      <c r="F319" s="24" t="s">
        <v>36</v>
      </c>
      <c r="G319" s="24" t="s">
        <v>37</v>
      </c>
      <c r="H319" s="22" t="b">
        <v>0</v>
      </c>
      <c r="I319" s="25">
        <v>1.5613730866E10</v>
      </c>
      <c r="J319" s="26" t="s">
        <v>1090</v>
      </c>
      <c r="K319" s="26" t="s">
        <v>1091</v>
      </c>
      <c r="L319" s="26" t="s">
        <v>40</v>
      </c>
      <c r="M319" s="79"/>
      <c r="N319" s="85"/>
    </row>
    <row r="320">
      <c r="A320" s="204">
        <v>319.0</v>
      </c>
      <c r="B320" s="26" t="s">
        <v>1092</v>
      </c>
      <c r="C320" s="23"/>
      <c r="D320" s="23"/>
      <c r="E320" s="24" t="s">
        <v>414</v>
      </c>
      <c r="F320" s="24" t="s">
        <v>60</v>
      </c>
      <c r="G320" s="24" t="s">
        <v>37</v>
      </c>
      <c r="H320" s="22" t="b">
        <v>0</v>
      </c>
      <c r="I320" s="25">
        <v>1.9174995475E10</v>
      </c>
      <c r="J320" s="26" t="s">
        <v>1093</v>
      </c>
      <c r="K320" s="26" t="s">
        <v>698</v>
      </c>
      <c r="L320" s="26" t="s">
        <v>194</v>
      </c>
      <c r="M320" s="79"/>
      <c r="N320" s="85"/>
    </row>
    <row r="321">
      <c r="A321" s="206">
        <v>320.0</v>
      </c>
      <c r="B321" s="26" t="s">
        <v>211</v>
      </c>
      <c r="C321" s="23"/>
      <c r="D321" s="23"/>
      <c r="E321" s="24" t="s">
        <v>414</v>
      </c>
      <c r="F321" s="24" t="s">
        <v>60</v>
      </c>
      <c r="G321" s="24" t="s">
        <v>37</v>
      </c>
      <c r="H321" s="22" t="b">
        <v>0</v>
      </c>
      <c r="I321" s="25">
        <v>1.6462065623E10</v>
      </c>
      <c r="J321" s="26" t="s">
        <v>212</v>
      </c>
      <c r="K321" s="26" t="s">
        <v>213</v>
      </c>
      <c r="L321" s="26" t="s">
        <v>40</v>
      </c>
      <c r="M321" s="79"/>
      <c r="N321" s="85"/>
    </row>
    <row r="322">
      <c r="A322" s="204">
        <v>321.0</v>
      </c>
      <c r="B322" s="107" t="s">
        <v>1094</v>
      </c>
      <c r="C322" s="140"/>
      <c r="D322" s="140"/>
      <c r="E322" s="262" t="s">
        <v>414</v>
      </c>
      <c r="F322" s="131" t="s">
        <v>60</v>
      </c>
      <c r="G322" s="131" t="s">
        <v>53</v>
      </c>
      <c r="H322" s="132" t="b">
        <v>0</v>
      </c>
      <c r="I322" s="133">
        <v>1.8583827797E10</v>
      </c>
      <c r="J322" s="107" t="s">
        <v>1095</v>
      </c>
      <c r="K322" s="107" t="s">
        <v>418</v>
      </c>
      <c r="L322" s="107" t="s">
        <v>77</v>
      </c>
      <c r="M322" s="135"/>
      <c r="N322" s="235"/>
    </row>
    <row r="323">
      <c r="A323" s="206">
        <v>322.0</v>
      </c>
      <c r="B323" s="130" t="s">
        <v>1096</v>
      </c>
      <c r="C323" s="23"/>
      <c r="D323" s="23"/>
      <c r="E323" s="24" t="s">
        <v>414</v>
      </c>
      <c r="F323" s="24" t="s">
        <v>36</v>
      </c>
      <c r="G323" s="24" t="s">
        <v>37</v>
      </c>
      <c r="H323" s="22" t="b">
        <v>0</v>
      </c>
      <c r="I323" s="25">
        <v>1.5167825518E10</v>
      </c>
      <c r="J323" s="26" t="s">
        <v>1097</v>
      </c>
      <c r="K323" s="26" t="s">
        <v>418</v>
      </c>
      <c r="L323" s="26" t="s">
        <v>77</v>
      </c>
      <c r="M323" s="79"/>
      <c r="N323" s="85"/>
    </row>
    <row r="324">
      <c r="A324" s="204">
        <v>323.0</v>
      </c>
      <c r="B324" s="15" t="s">
        <v>1098</v>
      </c>
      <c r="C324" s="12"/>
      <c r="D324" s="12"/>
      <c r="E324" s="13" t="s">
        <v>414</v>
      </c>
      <c r="F324" s="13" t="s">
        <v>36</v>
      </c>
      <c r="G324" s="13" t="s">
        <v>37</v>
      </c>
      <c r="H324" s="10" t="b">
        <v>0</v>
      </c>
      <c r="I324" s="14">
        <v>1.516607022E10</v>
      </c>
      <c r="J324" s="15" t="s">
        <v>1099</v>
      </c>
      <c r="K324" s="15" t="s">
        <v>319</v>
      </c>
      <c r="L324" s="15" t="s">
        <v>77</v>
      </c>
      <c r="M324" s="82"/>
      <c r="N324" s="118"/>
    </row>
    <row r="325">
      <c r="A325" s="206">
        <v>324.0</v>
      </c>
      <c r="B325" s="26" t="s">
        <v>1100</v>
      </c>
      <c r="C325" s="23"/>
      <c r="D325" s="23"/>
      <c r="E325" s="24" t="s">
        <v>414</v>
      </c>
      <c r="F325" s="24" t="s">
        <v>60</v>
      </c>
      <c r="G325" s="24" t="s">
        <v>37</v>
      </c>
      <c r="H325" s="22" t="b">
        <v>0</v>
      </c>
      <c r="I325" s="25">
        <v>1.3122187108E10</v>
      </c>
      <c r="J325" s="26" t="s">
        <v>1101</v>
      </c>
      <c r="K325" s="26" t="s">
        <v>575</v>
      </c>
      <c r="L325" s="26" t="s">
        <v>314</v>
      </c>
      <c r="M325" s="79"/>
      <c r="N325" s="85"/>
    </row>
    <row r="326">
      <c r="A326" s="204">
        <v>325.0</v>
      </c>
      <c r="B326" s="259" t="s">
        <v>1102</v>
      </c>
      <c r="C326" s="238"/>
      <c r="D326" s="238"/>
      <c r="E326" s="255" t="s">
        <v>414</v>
      </c>
      <c r="F326" s="256" t="s">
        <v>60</v>
      </c>
      <c r="G326" s="256" t="s">
        <v>53</v>
      </c>
      <c r="H326" s="257" t="b">
        <v>0</v>
      </c>
      <c r="I326" s="258">
        <v>1.9543093727E10</v>
      </c>
      <c r="J326" s="259" t="s">
        <v>1103</v>
      </c>
      <c r="K326" s="259" t="s">
        <v>340</v>
      </c>
      <c r="L326" s="259" t="s">
        <v>40</v>
      </c>
      <c r="M326" s="260"/>
      <c r="N326" s="261"/>
    </row>
    <row r="327">
      <c r="A327" s="206">
        <v>326.0</v>
      </c>
      <c r="B327" s="26" t="s">
        <v>1104</v>
      </c>
      <c r="C327" s="23"/>
      <c r="D327" s="23"/>
      <c r="E327" s="24" t="s">
        <v>414</v>
      </c>
      <c r="F327" s="24" t="s">
        <v>60</v>
      </c>
      <c r="G327" s="24" t="s">
        <v>37</v>
      </c>
      <c r="H327" s="22" t="b">
        <v>0</v>
      </c>
      <c r="I327" s="25">
        <v>1.8479975218E10</v>
      </c>
      <c r="J327" s="26" t="s">
        <v>1105</v>
      </c>
      <c r="K327" s="26" t="s">
        <v>1106</v>
      </c>
      <c r="L327" s="26" t="s">
        <v>40</v>
      </c>
      <c r="M327" s="79"/>
      <c r="N327" s="85"/>
    </row>
    <row r="328">
      <c r="A328" s="204">
        <v>327.0</v>
      </c>
      <c r="B328" s="130" t="s">
        <v>1107</v>
      </c>
      <c r="C328" s="23"/>
      <c r="D328" s="23"/>
      <c r="E328" s="24" t="s">
        <v>414</v>
      </c>
      <c r="F328" s="24" t="s">
        <v>60</v>
      </c>
      <c r="G328" s="24" t="s">
        <v>37</v>
      </c>
      <c r="H328" s="22" t="b">
        <v>0</v>
      </c>
      <c r="I328" s="25">
        <v>1.7732975301E10</v>
      </c>
      <c r="J328" s="26" t="s">
        <v>1108</v>
      </c>
      <c r="K328" s="26" t="s">
        <v>313</v>
      </c>
      <c r="L328" s="26" t="s">
        <v>314</v>
      </c>
      <c r="M328" s="79"/>
      <c r="N328" s="85"/>
    </row>
    <row r="329">
      <c r="A329" s="206">
        <v>328.0</v>
      </c>
      <c r="B329" s="26" t="s">
        <v>1109</v>
      </c>
      <c r="C329" s="23"/>
      <c r="D329" s="23"/>
      <c r="E329" s="24" t="s">
        <v>414</v>
      </c>
      <c r="F329" s="24" t="s">
        <v>60</v>
      </c>
      <c r="G329" s="24" t="s">
        <v>37</v>
      </c>
      <c r="H329" s="22" t="b">
        <v>0</v>
      </c>
      <c r="I329" s="25">
        <v>1.7172791236E10</v>
      </c>
      <c r="J329" s="26" t="s">
        <v>1110</v>
      </c>
      <c r="K329" s="26" t="s">
        <v>1046</v>
      </c>
      <c r="L329" s="26" t="s">
        <v>1047</v>
      </c>
      <c r="M329" s="79"/>
      <c r="N329" s="85"/>
    </row>
    <row r="330">
      <c r="A330" s="204">
        <v>329.0</v>
      </c>
      <c r="B330" s="107" t="s">
        <v>1111</v>
      </c>
      <c r="C330" s="140"/>
      <c r="D330" s="140"/>
      <c r="E330" s="262" t="s">
        <v>414</v>
      </c>
      <c r="F330" s="131" t="s">
        <v>36</v>
      </c>
      <c r="G330" s="131" t="s">
        <v>53</v>
      </c>
      <c r="H330" s="132" t="b">
        <v>0</v>
      </c>
      <c r="I330" s="133">
        <v>1.3039819997E10</v>
      </c>
      <c r="J330" s="107" t="s">
        <v>1112</v>
      </c>
      <c r="K330" s="107" t="s">
        <v>653</v>
      </c>
      <c r="L330" s="107" t="s">
        <v>528</v>
      </c>
      <c r="M330" s="135"/>
      <c r="N330" s="235"/>
    </row>
    <row r="331">
      <c r="A331" s="206">
        <v>330.0</v>
      </c>
      <c r="B331" s="26" t="s">
        <v>1113</v>
      </c>
      <c r="C331" s="23"/>
      <c r="D331" s="23"/>
      <c r="E331" s="24" t="s">
        <v>414</v>
      </c>
      <c r="F331" s="24" t="s">
        <v>36</v>
      </c>
      <c r="G331" s="24" t="s">
        <v>37</v>
      </c>
      <c r="H331" s="22" t="b">
        <v>0</v>
      </c>
      <c r="I331" s="25">
        <v>1.7187918224E10</v>
      </c>
      <c r="J331" s="26" t="s">
        <v>1114</v>
      </c>
      <c r="K331" s="26" t="s">
        <v>319</v>
      </c>
      <c r="L331" s="26" t="s">
        <v>77</v>
      </c>
      <c r="M331" s="79"/>
      <c r="N331" s="85"/>
    </row>
    <row r="332">
      <c r="A332" s="204">
        <v>331.0</v>
      </c>
      <c r="B332" s="15" t="s">
        <v>1115</v>
      </c>
      <c r="C332" s="12"/>
      <c r="D332" s="12"/>
      <c r="E332" s="13" t="s">
        <v>414</v>
      </c>
      <c r="F332" s="13" t="s">
        <v>60</v>
      </c>
      <c r="G332" s="13" t="s">
        <v>37</v>
      </c>
      <c r="H332" s="10" t="b">
        <v>0</v>
      </c>
      <c r="I332" s="14">
        <v>1.7173045757E10</v>
      </c>
      <c r="J332" s="15" t="s">
        <v>1116</v>
      </c>
      <c r="K332" s="15" t="s">
        <v>1117</v>
      </c>
      <c r="L332" s="15" t="s">
        <v>124</v>
      </c>
      <c r="M332" s="82"/>
      <c r="N332" s="118"/>
    </row>
    <row r="333">
      <c r="A333" s="206">
        <v>332.0</v>
      </c>
      <c r="B333" s="130" t="s">
        <v>1118</v>
      </c>
      <c r="C333" s="23"/>
      <c r="D333" s="23"/>
      <c r="E333" s="24" t="s">
        <v>414</v>
      </c>
      <c r="F333" s="24" t="s">
        <v>36</v>
      </c>
      <c r="G333" s="24" t="s">
        <v>37</v>
      </c>
      <c r="H333" s="22" t="b">
        <v>0</v>
      </c>
      <c r="I333" s="25">
        <v>1.5163060964E10</v>
      </c>
      <c r="J333" s="26" t="s">
        <v>1119</v>
      </c>
      <c r="K333" s="26" t="s">
        <v>1120</v>
      </c>
      <c r="L333" s="26" t="s">
        <v>77</v>
      </c>
      <c r="M333" s="79"/>
      <c r="N333" s="85"/>
    </row>
    <row r="334">
      <c r="A334" s="204">
        <v>333.0</v>
      </c>
      <c r="B334" s="107" t="s">
        <v>1121</v>
      </c>
      <c r="C334" s="140"/>
      <c r="D334" s="140"/>
      <c r="E334" s="262" t="s">
        <v>414</v>
      </c>
      <c r="F334" s="131" t="s">
        <v>60</v>
      </c>
      <c r="G334" s="131" t="s">
        <v>53</v>
      </c>
      <c r="H334" s="132" t="b">
        <v>0</v>
      </c>
      <c r="I334" s="133">
        <v>1.4078738495E10</v>
      </c>
      <c r="J334" s="107" t="s">
        <v>1122</v>
      </c>
      <c r="K334" s="107" t="s">
        <v>83</v>
      </c>
      <c r="L334" s="107" t="s">
        <v>84</v>
      </c>
      <c r="M334" s="135"/>
      <c r="N334" s="235"/>
    </row>
    <row r="335">
      <c r="A335" s="206">
        <v>334.0</v>
      </c>
      <c r="B335" s="26" t="s">
        <v>1123</v>
      </c>
      <c r="C335" s="23"/>
      <c r="D335" s="23"/>
      <c r="E335" s="24" t="s">
        <v>414</v>
      </c>
      <c r="F335" s="24" t="s">
        <v>60</v>
      </c>
      <c r="G335" s="24" t="s">
        <v>37</v>
      </c>
      <c r="H335" s="22" t="b">
        <v>0</v>
      </c>
      <c r="I335" s="25">
        <v>1.9546449177E10</v>
      </c>
      <c r="J335" s="26" t="s">
        <v>1124</v>
      </c>
      <c r="K335" s="26" t="s">
        <v>994</v>
      </c>
      <c r="L335" s="26" t="s">
        <v>40</v>
      </c>
      <c r="M335" s="79"/>
      <c r="N335" s="85"/>
    </row>
    <row r="336">
      <c r="A336" s="204">
        <v>335.0</v>
      </c>
      <c r="B336" s="15" t="s">
        <v>177</v>
      </c>
      <c r="C336" s="12"/>
      <c r="D336" s="12"/>
      <c r="E336" s="13" t="s">
        <v>414</v>
      </c>
      <c r="F336" s="13" t="s">
        <v>36</v>
      </c>
      <c r="G336" s="13" t="s">
        <v>37</v>
      </c>
      <c r="H336" s="10" t="b">
        <v>0</v>
      </c>
      <c r="I336" s="14">
        <v>1.2036272737E10</v>
      </c>
      <c r="J336" s="15" t="s">
        <v>178</v>
      </c>
      <c r="K336" s="15" t="s">
        <v>179</v>
      </c>
      <c r="L336" s="15" t="s">
        <v>100</v>
      </c>
      <c r="M336" s="82"/>
      <c r="N336" s="118"/>
    </row>
    <row r="337">
      <c r="A337" s="206">
        <v>336.0</v>
      </c>
      <c r="B337" s="26" t="s">
        <v>1125</v>
      </c>
      <c r="C337" s="23"/>
      <c r="D337" s="23"/>
      <c r="E337" s="24" t="s">
        <v>414</v>
      </c>
      <c r="F337" s="24" t="s">
        <v>60</v>
      </c>
      <c r="G337" s="24" t="s">
        <v>37</v>
      </c>
      <c r="H337" s="22" t="b">
        <v>0</v>
      </c>
      <c r="I337" s="25">
        <v>1.7738283835E10</v>
      </c>
      <c r="J337" s="26" t="s">
        <v>1126</v>
      </c>
      <c r="K337" s="26" t="s">
        <v>1127</v>
      </c>
      <c r="L337" s="26" t="s">
        <v>314</v>
      </c>
      <c r="M337" s="79"/>
      <c r="N337" s="85"/>
    </row>
    <row r="338">
      <c r="A338" s="204">
        <v>337.0</v>
      </c>
      <c r="B338" s="254" t="s">
        <v>1128</v>
      </c>
      <c r="C338" s="238"/>
      <c r="D338" s="238"/>
      <c r="E338" s="255" t="s">
        <v>414</v>
      </c>
      <c r="F338" s="256" t="s">
        <v>36</v>
      </c>
      <c r="G338" s="256" t="s">
        <v>53</v>
      </c>
      <c r="H338" s="257" t="b">
        <v>0</v>
      </c>
      <c r="I338" s="258">
        <v>1.8048730488E10</v>
      </c>
      <c r="J338" s="259" t="s">
        <v>1129</v>
      </c>
      <c r="K338" s="259" t="s">
        <v>83</v>
      </c>
      <c r="L338" s="259" t="s">
        <v>84</v>
      </c>
      <c r="M338" s="260"/>
      <c r="N338" s="261"/>
    </row>
    <row r="339">
      <c r="A339" s="206">
        <v>338.0</v>
      </c>
      <c r="B339" s="26" t="s">
        <v>1115</v>
      </c>
      <c r="C339" s="23"/>
      <c r="D339" s="23"/>
      <c r="E339" s="24" t="s">
        <v>414</v>
      </c>
      <c r="F339" s="24" t="s">
        <v>60</v>
      </c>
      <c r="G339" s="24" t="s">
        <v>37</v>
      </c>
      <c r="H339" s="22" t="b">
        <v>0</v>
      </c>
      <c r="I339" s="25">
        <v>1.7173045757E10</v>
      </c>
      <c r="J339" s="26" t="s">
        <v>1116</v>
      </c>
      <c r="K339" s="26" t="s">
        <v>1117</v>
      </c>
      <c r="L339" s="26" t="s">
        <v>124</v>
      </c>
      <c r="M339" s="79"/>
      <c r="N339" s="85"/>
    </row>
    <row r="340">
      <c r="A340" s="204">
        <v>339.0</v>
      </c>
      <c r="B340" s="26" t="s">
        <v>1130</v>
      </c>
      <c r="C340" s="23"/>
      <c r="D340" s="23"/>
      <c r="E340" s="24" t="s">
        <v>414</v>
      </c>
      <c r="F340" s="24" t="s">
        <v>36</v>
      </c>
      <c r="G340" s="24" t="s">
        <v>37</v>
      </c>
      <c r="H340" s="22" t="b">
        <v>0</v>
      </c>
      <c r="I340" s="25">
        <v>1.347446077E10</v>
      </c>
      <c r="J340" s="26" t="s">
        <v>1131</v>
      </c>
      <c r="K340" s="26" t="s">
        <v>499</v>
      </c>
      <c r="L340" s="26" t="s">
        <v>77</v>
      </c>
      <c r="M340" s="79"/>
      <c r="N340" s="85"/>
    </row>
    <row r="341">
      <c r="A341" s="206">
        <v>340.0</v>
      </c>
      <c r="B341" s="26" t="s">
        <v>1132</v>
      </c>
      <c r="C341" s="23"/>
      <c r="D341" s="23"/>
      <c r="E341" s="24" t="s">
        <v>414</v>
      </c>
      <c r="F341" s="24" t="s">
        <v>60</v>
      </c>
      <c r="G341" s="24" t="s">
        <v>37</v>
      </c>
      <c r="H341" s="22" t="b">
        <v>0</v>
      </c>
      <c r="I341" s="25">
        <v>1.2249006473E10</v>
      </c>
      <c r="J341" s="26" t="s">
        <v>1133</v>
      </c>
      <c r="K341" s="26" t="s">
        <v>911</v>
      </c>
      <c r="L341" s="26" t="s">
        <v>314</v>
      </c>
      <c r="M341" s="79"/>
      <c r="N341" s="85"/>
    </row>
    <row r="342">
      <c r="A342" s="204">
        <v>341.0</v>
      </c>
      <c r="B342" s="259" t="s">
        <v>1134</v>
      </c>
      <c r="C342" s="238"/>
      <c r="D342" s="238"/>
      <c r="E342" s="255" t="s">
        <v>414</v>
      </c>
      <c r="F342" s="256" t="s">
        <v>60</v>
      </c>
      <c r="G342" s="256" t="s">
        <v>53</v>
      </c>
      <c r="H342" s="257" t="b">
        <v>1</v>
      </c>
      <c r="I342" s="258">
        <v>9.72538291438E11</v>
      </c>
      <c r="J342" s="259" t="s">
        <v>1135</v>
      </c>
      <c r="K342" s="259" t="s">
        <v>368</v>
      </c>
      <c r="L342" s="259" t="s">
        <v>105</v>
      </c>
      <c r="M342" s="260"/>
      <c r="N342" s="261"/>
    </row>
    <row r="343">
      <c r="A343" s="206">
        <v>342.0</v>
      </c>
      <c r="B343" s="130" t="s">
        <v>1136</v>
      </c>
      <c r="C343" s="23"/>
      <c r="D343" s="23"/>
      <c r="E343" s="24" t="s">
        <v>414</v>
      </c>
      <c r="F343" s="24" t="s">
        <v>60</v>
      </c>
      <c r="G343" s="24" t="s">
        <v>37</v>
      </c>
      <c r="H343" s="22" t="b">
        <v>0</v>
      </c>
      <c r="I343" s="25">
        <v>1.3107075699E10</v>
      </c>
      <c r="J343" s="26" t="s">
        <v>1137</v>
      </c>
      <c r="K343" s="26" t="s">
        <v>250</v>
      </c>
      <c r="L343" s="26" t="s">
        <v>194</v>
      </c>
      <c r="M343" s="79"/>
      <c r="N343" s="85"/>
    </row>
    <row r="344">
      <c r="A344" s="204">
        <v>343.0</v>
      </c>
      <c r="B344" s="263" t="s">
        <v>1138</v>
      </c>
      <c r="C344" s="23"/>
      <c r="D344" s="23"/>
      <c r="E344" s="24" t="s">
        <v>414</v>
      </c>
      <c r="F344" s="24" t="s">
        <v>36</v>
      </c>
      <c r="G344" s="24" t="s">
        <v>37</v>
      </c>
      <c r="H344" s="22" t="b">
        <v>0</v>
      </c>
      <c r="I344" s="25">
        <v>1.5618598686E10</v>
      </c>
      <c r="J344" s="26" t="s">
        <v>1139</v>
      </c>
      <c r="K344" s="26" t="s">
        <v>393</v>
      </c>
      <c r="L344" s="26" t="s">
        <v>40</v>
      </c>
      <c r="M344" s="79"/>
      <c r="N344" s="85"/>
    </row>
    <row r="345">
      <c r="A345" s="206">
        <v>344.0</v>
      </c>
      <c r="B345" s="26" t="s">
        <v>1140</v>
      </c>
      <c r="C345" s="23"/>
      <c r="D345" s="23"/>
      <c r="E345" s="24" t="s">
        <v>414</v>
      </c>
      <c r="F345" s="24" t="s">
        <v>60</v>
      </c>
      <c r="G345" s="24" t="s">
        <v>37</v>
      </c>
      <c r="H345" s="22" t="b">
        <v>0</v>
      </c>
      <c r="I345" s="25">
        <v>1.7735926424E10</v>
      </c>
      <c r="J345" s="26" t="s">
        <v>1141</v>
      </c>
      <c r="K345" s="26" t="s">
        <v>575</v>
      </c>
      <c r="L345" s="26" t="s">
        <v>314</v>
      </c>
      <c r="M345" s="79"/>
      <c r="N345" s="85"/>
    </row>
    <row r="346">
      <c r="A346" s="264"/>
      <c r="B346" s="160"/>
      <c r="C346" s="249"/>
      <c r="D346" s="249"/>
      <c r="E346" s="249"/>
      <c r="F346" s="249"/>
      <c r="G346" s="249"/>
      <c r="H346" s="265"/>
      <c r="I346" s="266"/>
      <c r="J346" s="160"/>
      <c r="K346" s="160"/>
      <c r="L346" s="160"/>
      <c r="M346" s="160"/>
      <c r="N346" s="267"/>
    </row>
    <row r="347">
      <c r="A347" s="268"/>
      <c r="B347" s="151"/>
      <c r="C347" s="250"/>
      <c r="D347" s="250"/>
      <c r="E347" s="250"/>
      <c r="F347" s="250"/>
      <c r="G347" s="250"/>
      <c r="H347" s="269"/>
      <c r="I347" s="270"/>
      <c r="J347" s="151"/>
      <c r="K347" s="151"/>
      <c r="L347" s="151"/>
      <c r="M347" s="151"/>
      <c r="N347" s="271"/>
    </row>
    <row r="348">
      <c r="A348" s="204"/>
      <c r="B348" s="272"/>
      <c r="C348" s="273"/>
      <c r="D348" s="273"/>
      <c r="E348" s="274"/>
      <c r="F348" s="274"/>
      <c r="G348" s="274"/>
      <c r="H348" s="275" t="b">
        <v>0</v>
      </c>
      <c r="I348" s="276"/>
      <c r="J348" s="272"/>
      <c r="K348" s="272"/>
      <c r="L348" s="272"/>
      <c r="M348" s="277"/>
      <c r="N348" s="118"/>
    </row>
    <row r="349">
      <c r="A349" s="278"/>
      <c r="B349" s="72"/>
      <c r="C349" s="23"/>
      <c r="D349" s="23"/>
      <c r="E349" s="279"/>
      <c r="F349" s="23"/>
      <c r="G349" s="23"/>
      <c r="H349" s="22" t="b">
        <v>0</v>
      </c>
      <c r="I349" s="252"/>
      <c r="J349" s="72"/>
      <c r="K349" s="72"/>
      <c r="L349" s="72"/>
      <c r="M349" s="79"/>
      <c r="N349" s="85"/>
    </row>
    <row r="350">
      <c r="A350" s="280"/>
      <c r="B350" s="67"/>
      <c r="C350" s="12"/>
      <c r="D350" s="12"/>
      <c r="E350" s="281"/>
      <c r="F350" s="12"/>
      <c r="G350" s="12"/>
      <c r="H350" s="10" t="b">
        <v>0</v>
      </c>
      <c r="I350" s="253"/>
      <c r="J350" s="67"/>
      <c r="K350" s="67"/>
      <c r="L350" s="67"/>
      <c r="M350" s="82"/>
      <c r="N350" s="118"/>
    </row>
    <row r="351">
      <c r="A351" s="278"/>
      <c r="B351" s="72"/>
      <c r="C351" s="23"/>
      <c r="D351" s="23"/>
      <c r="E351" s="279"/>
      <c r="F351" s="23"/>
      <c r="G351" s="23"/>
      <c r="H351" s="22" t="b">
        <v>0</v>
      </c>
      <c r="I351" s="252"/>
      <c r="J351" s="72"/>
      <c r="K351" s="72"/>
      <c r="L351" s="72"/>
      <c r="M351" s="79"/>
      <c r="N351" s="85"/>
    </row>
    <row r="352">
      <c r="A352" s="280"/>
      <c r="B352" s="67"/>
      <c r="C352" s="12"/>
      <c r="D352" s="12"/>
      <c r="E352" s="281"/>
      <c r="F352" s="12"/>
      <c r="G352" s="12"/>
      <c r="H352" s="10" t="b">
        <v>0</v>
      </c>
      <c r="I352" s="253"/>
      <c r="J352" s="67"/>
      <c r="K352" s="67"/>
      <c r="L352" s="67"/>
      <c r="M352" s="82"/>
      <c r="N352" s="118"/>
    </row>
    <row r="353">
      <c r="A353" s="278"/>
      <c r="B353" s="72"/>
      <c r="C353" s="23"/>
      <c r="D353" s="23"/>
      <c r="E353" s="279"/>
      <c r="F353" s="23"/>
      <c r="G353" s="23"/>
      <c r="H353" s="22" t="b">
        <v>0</v>
      </c>
      <c r="I353" s="252"/>
      <c r="J353" s="72"/>
      <c r="K353" s="72"/>
      <c r="L353" s="72"/>
      <c r="M353" s="79"/>
      <c r="N353" s="85"/>
    </row>
    <row r="354">
      <c r="A354" s="280"/>
      <c r="B354" s="67"/>
      <c r="C354" s="12"/>
      <c r="D354" s="12"/>
      <c r="E354" s="281"/>
      <c r="F354" s="12"/>
      <c r="G354" s="12"/>
      <c r="H354" s="10" t="b">
        <v>0</v>
      </c>
      <c r="I354" s="253"/>
      <c r="J354" s="67"/>
      <c r="K354" s="67"/>
      <c r="L354" s="67"/>
      <c r="M354" s="82"/>
      <c r="N354" s="118"/>
    </row>
    <row r="355">
      <c r="A355" s="278"/>
      <c r="B355" s="72"/>
      <c r="C355" s="23"/>
      <c r="D355" s="23"/>
      <c r="E355" s="279"/>
      <c r="F355" s="23"/>
      <c r="G355" s="23"/>
      <c r="H355" s="22" t="b">
        <v>0</v>
      </c>
      <c r="I355" s="252"/>
      <c r="J355" s="72"/>
      <c r="K355" s="72"/>
      <c r="L355" s="72"/>
      <c r="M355" s="79"/>
      <c r="N355" s="85"/>
    </row>
    <row r="356">
      <c r="A356" s="280"/>
      <c r="B356" s="67"/>
      <c r="C356" s="12"/>
      <c r="D356" s="12"/>
      <c r="E356" s="281"/>
      <c r="F356" s="12"/>
      <c r="G356" s="12"/>
      <c r="H356" s="10" t="b">
        <v>0</v>
      </c>
      <c r="I356" s="253"/>
      <c r="J356" s="67"/>
      <c r="K356" s="67"/>
      <c r="L356" s="67"/>
      <c r="M356" s="82"/>
      <c r="N356" s="118"/>
    </row>
    <row r="357">
      <c r="A357" s="278"/>
      <c r="B357" s="72"/>
      <c r="C357" s="23"/>
      <c r="D357" s="23"/>
      <c r="E357" s="279"/>
      <c r="F357" s="23"/>
      <c r="G357" s="23"/>
      <c r="H357" s="22" t="b">
        <v>0</v>
      </c>
      <c r="I357" s="252"/>
      <c r="J357" s="72"/>
      <c r="K357" s="72"/>
      <c r="L357" s="72"/>
      <c r="M357" s="79"/>
      <c r="N357" s="85"/>
    </row>
    <row r="358">
      <c r="A358" s="280"/>
      <c r="B358" s="67"/>
      <c r="C358" s="12"/>
      <c r="D358" s="12"/>
      <c r="E358" s="281"/>
      <c r="F358" s="12"/>
      <c r="G358" s="12"/>
      <c r="H358" s="10" t="b">
        <v>0</v>
      </c>
      <c r="I358" s="253"/>
      <c r="J358" s="67"/>
      <c r="K358" s="67"/>
      <c r="L358" s="67"/>
      <c r="M358" s="82"/>
      <c r="N358" s="118"/>
    </row>
    <row r="359">
      <c r="A359" s="278"/>
      <c r="B359" s="72"/>
      <c r="C359" s="23"/>
      <c r="D359" s="23"/>
      <c r="E359" s="279"/>
      <c r="F359" s="23"/>
      <c r="G359" s="23"/>
      <c r="H359" s="22" t="b">
        <v>0</v>
      </c>
      <c r="I359" s="252"/>
      <c r="J359" s="72"/>
      <c r="K359" s="72"/>
      <c r="L359" s="72"/>
      <c r="M359" s="79"/>
      <c r="N359" s="85"/>
    </row>
    <row r="360">
      <c r="A360" s="280"/>
      <c r="B360" s="67"/>
      <c r="C360" s="12"/>
      <c r="D360" s="12"/>
      <c r="E360" s="281"/>
      <c r="F360" s="12"/>
      <c r="G360" s="12"/>
      <c r="H360" s="10" t="b">
        <v>0</v>
      </c>
      <c r="I360" s="253"/>
      <c r="J360" s="67"/>
      <c r="K360" s="67"/>
      <c r="L360" s="67"/>
      <c r="M360" s="82"/>
      <c r="N360" s="118"/>
    </row>
    <row r="361">
      <c r="A361" s="278"/>
      <c r="B361" s="72"/>
      <c r="C361" s="23"/>
      <c r="D361" s="23"/>
      <c r="E361" s="279"/>
      <c r="F361" s="23"/>
      <c r="G361" s="23"/>
      <c r="H361" s="22" t="b">
        <v>0</v>
      </c>
      <c r="I361" s="252"/>
      <c r="J361" s="72"/>
      <c r="K361" s="72"/>
      <c r="L361" s="72"/>
      <c r="M361" s="79"/>
      <c r="N361" s="85"/>
    </row>
    <row r="362">
      <c r="A362" s="280"/>
      <c r="B362" s="67"/>
      <c r="C362" s="12"/>
      <c r="D362" s="12"/>
      <c r="E362" s="281"/>
      <c r="F362" s="12"/>
      <c r="G362" s="12"/>
      <c r="H362" s="10" t="b">
        <v>0</v>
      </c>
      <c r="I362" s="253"/>
      <c r="J362" s="67"/>
      <c r="K362" s="67"/>
      <c r="L362" s="67"/>
      <c r="M362" s="82"/>
      <c r="N362" s="118"/>
    </row>
    <row r="363">
      <c r="A363" s="278"/>
      <c r="B363" s="72"/>
      <c r="C363" s="23"/>
      <c r="D363" s="23"/>
      <c r="E363" s="279"/>
      <c r="F363" s="23"/>
      <c r="G363" s="23"/>
      <c r="H363" s="22" t="b">
        <v>0</v>
      </c>
      <c r="I363" s="252"/>
      <c r="J363" s="72"/>
      <c r="K363" s="72"/>
      <c r="L363" s="72"/>
      <c r="M363" s="79"/>
      <c r="N363" s="85"/>
    </row>
    <row r="364">
      <c r="A364" s="280"/>
      <c r="B364" s="67"/>
      <c r="C364" s="12"/>
      <c r="D364" s="12"/>
      <c r="E364" s="281"/>
      <c r="F364" s="12"/>
      <c r="G364" s="12"/>
      <c r="H364" s="10" t="b">
        <v>0</v>
      </c>
      <c r="I364" s="253"/>
      <c r="J364" s="67"/>
      <c r="K364" s="67"/>
      <c r="L364" s="67"/>
      <c r="M364" s="82"/>
      <c r="N364" s="118"/>
    </row>
    <row r="365">
      <c r="A365" s="278"/>
      <c r="B365" s="72"/>
      <c r="C365" s="23"/>
      <c r="D365" s="23"/>
      <c r="E365" s="279"/>
      <c r="F365" s="23"/>
      <c r="G365" s="23"/>
      <c r="H365" s="22" t="b">
        <v>0</v>
      </c>
      <c r="I365" s="252"/>
      <c r="J365" s="72"/>
      <c r="K365" s="72"/>
      <c r="L365" s="72"/>
      <c r="M365" s="79"/>
      <c r="N365" s="85"/>
    </row>
    <row r="366">
      <c r="A366" s="280"/>
      <c r="B366" s="67"/>
      <c r="C366" s="12"/>
      <c r="D366" s="12"/>
      <c r="E366" s="281"/>
      <c r="F366" s="12"/>
      <c r="G366" s="12"/>
      <c r="H366" s="10" t="b">
        <v>0</v>
      </c>
      <c r="I366" s="253"/>
      <c r="J366" s="67"/>
      <c r="K366" s="67"/>
      <c r="L366" s="67"/>
      <c r="M366" s="82"/>
      <c r="N366" s="118"/>
    </row>
    <row r="367">
      <c r="A367" s="278"/>
      <c r="B367" s="72"/>
      <c r="C367" s="23"/>
      <c r="D367" s="23"/>
      <c r="E367" s="279"/>
      <c r="F367" s="23"/>
      <c r="G367" s="23"/>
      <c r="H367" s="22" t="b">
        <v>0</v>
      </c>
      <c r="I367" s="252"/>
      <c r="J367" s="72"/>
      <c r="K367" s="72"/>
      <c r="L367" s="72"/>
      <c r="M367" s="79"/>
      <c r="N367" s="85"/>
    </row>
    <row r="368">
      <c r="A368" s="280"/>
      <c r="B368" s="72"/>
      <c r="C368" s="23"/>
      <c r="D368" s="23"/>
      <c r="E368" s="279"/>
      <c r="F368" s="23"/>
      <c r="G368" s="23"/>
      <c r="H368" s="22" t="b">
        <v>0</v>
      </c>
      <c r="I368" s="252"/>
      <c r="J368" s="72"/>
      <c r="K368" s="72"/>
      <c r="L368" s="72"/>
      <c r="M368" s="79"/>
      <c r="N368" s="85"/>
    </row>
    <row r="369">
      <c r="A369" s="278"/>
      <c r="B369" s="67"/>
      <c r="C369" s="12"/>
      <c r="D369" s="12"/>
      <c r="E369" s="281"/>
      <c r="F369" s="12"/>
      <c r="G369" s="12"/>
      <c r="H369" s="10" t="b">
        <v>0</v>
      </c>
      <c r="I369" s="253"/>
      <c r="J369" s="67"/>
      <c r="K369" s="67"/>
      <c r="L369" s="67"/>
      <c r="M369" s="82"/>
      <c r="N369" s="118"/>
    </row>
    <row r="370">
      <c r="A370" s="280"/>
      <c r="B370" s="72"/>
      <c r="C370" s="23"/>
      <c r="D370" s="23"/>
      <c r="E370" s="279"/>
      <c r="F370" s="23"/>
      <c r="G370" s="23"/>
      <c r="H370" s="22" t="b">
        <v>0</v>
      </c>
      <c r="I370" s="252"/>
      <c r="J370" s="72"/>
      <c r="K370" s="72"/>
      <c r="L370" s="72"/>
      <c r="M370" s="79"/>
      <c r="N370" s="85"/>
    </row>
    <row r="371">
      <c r="A371" s="278"/>
      <c r="B371" s="67"/>
      <c r="C371" s="12"/>
      <c r="D371" s="12"/>
      <c r="E371" s="281"/>
      <c r="F371" s="12"/>
      <c r="G371" s="12"/>
      <c r="H371" s="10" t="b">
        <v>0</v>
      </c>
      <c r="I371" s="253"/>
      <c r="J371" s="67"/>
      <c r="K371" s="67"/>
      <c r="L371" s="67"/>
      <c r="M371" s="82"/>
      <c r="N371" s="118"/>
    </row>
    <row r="372">
      <c r="A372" s="280"/>
      <c r="B372" s="72"/>
      <c r="C372" s="23"/>
      <c r="D372" s="23"/>
      <c r="E372" s="279"/>
      <c r="F372" s="23"/>
      <c r="G372" s="23"/>
      <c r="H372" s="22" t="b">
        <v>0</v>
      </c>
      <c r="I372" s="252"/>
      <c r="J372" s="72"/>
      <c r="K372" s="72"/>
      <c r="L372" s="72"/>
      <c r="M372" s="79"/>
      <c r="N372" s="85"/>
    </row>
    <row r="373">
      <c r="A373" s="282">
        <v>1.0</v>
      </c>
      <c r="B373" s="15" t="s">
        <v>1142</v>
      </c>
      <c r="C373" s="12"/>
      <c r="D373" s="12"/>
      <c r="E373" s="13" t="s">
        <v>414</v>
      </c>
      <c r="F373" s="13" t="s">
        <v>60</v>
      </c>
      <c r="G373" s="13" t="s">
        <v>37</v>
      </c>
      <c r="H373" s="10" t="b">
        <v>0</v>
      </c>
      <c r="I373" s="14">
        <v>1.2012645157E10</v>
      </c>
      <c r="J373" s="15" t="s">
        <v>1143</v>
      </c>
      <c r="K373" s="15" t="s">
        <v>1144</v>
      </c>
      <c r="L373" s="15" t="s">
        <v>40</v>
      </c>
      <c r="M373" s="82"/>
      <c r="N373" s="118"/>
    </row>
    <row r="374">
      <c r="A374" s="283">
        <v>2.0</v>
      </c>
      <c r="B374" s="26" t="s">
        <v>1145</v>
      </c>
      <c r="C374" s="23"/>
      <c r="D374" s="23"/>
      <c r="E374" s="24" t="s">
        <v>414</v>
      </c>
      <c r="F374" s="24" t="s">
        <v>60</v>
      </c>
      <c r="G374" s="24" t="s">
        <v>37</v>
      </c>
      <c r="H374" s="22" t="b">
        <v>0</v>
      </c>
      <c r="I374" s="25">
        <v>1.5517955036E10</v>
      </c>
      <c r="J374" s="26" t="s">
        <v>1146</v>
      </c>
      <c r="K374" s="26" t="s">
        <v>203</v>
      </c>
      <c r="L374" s="26" t="s">
        <v>56</v>
      </c>
      <c r="M374" s="79"/>
      <c r="N374" s="85"/>
    </row>
    <row r="375">
      <c r="A375" s="282">
        <v>3.0</v>
      </c>
      <c r="B375" s="15" t="s">
        <v>1147</v>
      </c>
      <c r="C375" s="12"/>
      <c r="D375" s="12"/>
      <c r="E375" s="13" t="s">
        <v>414</v>
      </c>
      <c r="F375" s="13" t="s">
        <v>60</v>
      </c>
      <c r="G375" s="13" t="s">
        <v>37</v>
      </c>
      <c r="H375" s="10" t="b">
        <v>0</v>
      </c>
      <c r="I375" s="14">
        <v>1.7182183662E10</v>
      </c>
      <c r="J375" s="15" t="s">
        <v>1148</v>
      </c>
      <c r="K375" s="15" t="s">
        <v>1149</v>
      </c>
      <c r="L375" s="15" t="s">
        <v>56</v>
      </c>
      <c r="M375" s="82"/>
      <c r="N375" s="118"/>
    </row>
    <row r="376">
      <c r="A376" s="283">
        <v>4.0</v>
      </c>
      <c r="B376" s="15" t="s">
        <v>1150</v>
      </c>
      <c r="C376" s="12"/>
      <c r="D376" s="12"/>
      <c r="E376" s="13" t="s">
        <v>414</v>
      </c>
      <c r="F376" s="13" t="s">
        <v>60</v>
      </c>
      <c r="G376" s="13" t="s">
        <v>37</v>
      </c>
      <c r="H376" s="10" t="b">
        <v>0</v>
      </c>
      <c r="I376" s="14">
        <v>1.9172047049E10</v>
      </c>
      <c r="J376" s="15" t="s">
        <v>1151</v>
      </c>
      <c r="K376" s="15" t="s">
        <v>213</v>
      </c>
      <c r="L376" s="15" t="s">
        <v>40</v>
      </c>
      <c r="M376" s="82"/>
      <c r="N376" s="118"/>
    </row>
    <row r="377">
      <c r="A377" s="282">
        <v>5.0</v>
      </c>
      <c r="B377" s="26" t="s">
        <v>1152</v>
      </c>
      <c r="C377" s="23"/>
      <c r="D377" s="23"/>
      <c r="E377" s="24" t="s">
        <v>414</v>
      </c>
      <c r="F377" s="24" t="s">
        <v>60</v>
      </c>
      <c r="G377" s="24" t="s">
        <v>37</v>
      </c>
      <c r="H377" s="22" t="b">
        <v>0</v>
      </c>
      <c r="I377" s="25">
        <v>1.3103517672E10</v>
      </c>
      <c r="J377" s="26" t="s">
        <v>1153</v>
      </c>
      <c r="K377" s="26" t="s">
        <v>233</v>
      </c>
      <c r="L377" s="26" t="s">
        <v>194</v>
      </c>
      <c r="M377" s="79"/>
      <c r="N377" s="85"/>
    </row>
    <row r="378">
      <c r="A378" s="283">
        <v>6.0</v>
      </c>
      <c r="B378" s="15" t="s">
        <v>1154</v>
      </c>
      <c r="C378" s="12"/>
      <c r="D378" s="12"/>
      <c r="E378" s="13" t="s">
        <v>414</v>
      </c>
      <c r="F378" s="13" t="s">
        <v>60</v>
      </c>
      <c r="G378" s="13" t="s">
        <v>37</v>
      </c>
      <c r="H378" s="10" t="b">
        <v>0</v>
      </c>
      <c r="I378" s="14">
        <v>1.9176045895E10</v>
      </c>
      <c r="J378" s="15" t="s">
        <v>1155</v>
      </c>
      <c r="K378" s="15" t="s">
        <v>115</v>
      </c>
      <c r="L378" s="15" t="s">
        <v>63</v>
      </c>
      <c r="M378" s="82"/>
      <c r="N378" s="118"/>
    </row>
    <row r="379">
      <c r="A379" s="282">
        <v>7.0</v>
      </c>
      <c r="B379" s="26" t="s">
        <v>1156</v>
      </c>
      <c r="C379" s="23"/>
      <c r="D379" s="23"/>
      <c r="E379" s="24" t="s">
        <v>414</v>
      </c>
      <c r="F379" s="24" t="s">
        <v>60</v>
      </c>
      <c r="G379" s="24" t="s">
        <v>37</v>
      </c>
      <c r="H379" s="22" t="b">
        <v>0</v>
      </c>
      <c r="I379" s="25">
        <v>1.7082246176E10</v>
      </c>
      <c r="J379" s="26" t="s">
        <v>1157</v>
      </c>
      <c r="K379" s="26" t="s">
        <v>1158</v>
      </c>
      <c r="L379" s="26" t="s">
        <v>314</v>
      </c>
      <c r="M379" s="79"/>
      <c r="N379" s="85"/>
    </row>
    <row r="380">
      <c r="A380" s="283">
        <v>8.0</v>
      </c>
      <c r="B380" s="15" t="s">
        <v>1159</v>
      </c>
      <c r="C380" s="12"/>
      <c r="D380" s="12"/>
      <c r="E380" s="13" t="s">
        <v>414</v>
      </c>
      <c r="F380" s="13" t="s">
        <v>36</v>
      </c>
      <c r="G380" s="13" t="s">
        <v>37</v>
      </c>
      <c r="H380" s="10" t="b">
        <v>0</v>
      </c>
      <c r="I380" s="14">
        <v>1.9174548434E10</v>
      </c>
      <c r="J380" s="15" t="s">
        <v>1160</v>
      </c>
      <c r="K380" s="15" t="s">
        <v>653</v>
      </c>
      <c r="L380" s="15" t="s">
        <v>528</v>
      </c>
      <c r="M380" s="82"/>
      <c r="N380" s="118"/>
    </row>
    <row r="381">
      <c r="A381" s="282">
        <v>9.0</v>
      </c>
      <c r="B381" s="26" t="s">
        <v>1161</v>
      </c>
      <c r="C381" s="23"/>
      <c r="D381" s="23"/>
      <c r="E381" s="24" t="s">
        <v>414</v>
      </c>
      <c r="F381" s="24" t="s">
        <v>36</v>
      </c>
      <c r="G381" s="24" t="s">
        <v>37</v>
      </c>
      <c r="H381" s="22" t="b">
        <v>0</v>
      </c>
      <c r="I381" s="25">
        <v>1.9542240644E10</v>
      </c>
      <c r="J381" s="26" t="s">
        <v>1162</v>
      </c>
      <c r="K381" s="26" t="s">
        <v>1163</v>
      </c>
      <c r="L381" s="26" t="s">
        <v>40</v>
      </c>
      <c r="M381" s="79"/>
      <c r="N381" s="85"/>
    </row>
    <row r="382">
      <c r="A382" s="283">
        <v>10.0</v>
      </c>
      <c r="B382" s="15" t="s">
        <v>1164</v>
      </c>
      <c r="C382" s="12"/>
      <c r="D382" s="12"/>
      <c r="E382" s="13" t="s">
        <v>414</v>
      </c>
      <c r="F382" s="13" t="s">
        <v>36</v>
      </c>
      <c r="G382" s="13" t="s">
        <v>37</v>
      </c>
      <c r="H382" s="10" t="b">
        <v>0</v>
      </c>
      <c r="I382" s="14">
        <v>1.8472127919E10</v>
      </c>
      <c r="J382" s="15" t="s">
        <v>1165</v>
      </c>
      <c r="K382" s="15" t="s">
        <v>1166</v>
      </c>
      <c r="L382" s="15" t="s">
        <v>314</v>
      </c>
      <c r="M382" s="82"/>
      <c r="N382" s="118"/>
    </row>
    <row r="383">
      <c r="A383" s="282">
        <v>11.0</v>
      </c>
      <c r="B383" s="26" t="s">
        <v>1167</v>
      </c>
      <c r="C383" s="23"/>
      <c r="D383" s="23"/>
      <c r="E383" s="24" t="s">
        <v>414</v>
      </c>
      <c r="F383" s="24" t="s">
        <v>36</v>
      </c>
      <c r="G383" s="24" t="s">
        <v>37</v>
      </c>
      <c r="H383" s="22" t="b">
        <v>0</v>
      </c>
      <c r="I383" s="25">
        <v>1.561908119E10</v>
      </c>
      <c r="J383" s="26" t="s">
        <v>1168</v>
      </c>
      <c r="K383" s="26" t="s">
        <v>552</v>
      </c>
      <c r="L383" s="26" t="s">
        <v>40</v>
      </c>
      <c r="M383" s="79"/>
      <c r="N383" s="85"/>
    </row>
    <row r="384">
      <c r="A384" s="283">
        <v>12.0</v>
      </c>
      <c r="B384" s="15" t="s">
        <v>236</v>
      </c>
      <c r="C384" s="12"/>
      <c r="D384" s="12"/>
      <c r="E384" s="13" t="s">
        <v>414</v>
      </c>
      <c r="F384" s="13" t="s">
        <v>60</v>
      </c>
      <c r="G384" s="13" t="s">
        <v>37</v>
      </c>
      <c r="H384" s="10" t="b">
        <v>0</v>
      </c>
      <c r="I384" s="14">
        <v>1.2164038711E10</v>
      </c>
      <c r="J384" s="15" t="s">
        <v>237</v>
      </c>
      <c r="K384" s="15" t="s">
        <v>238</v>
      </c>
      <c r="L384" s="15" t="s">
        <v>109</v>
      </c>
      <c r="M384" s="82"/>
      <c r="N384" s="118"/>
    </row>
    <row r="385">
      <c r="A385" s="282">
        <v>13.0</v>
      </c>
      <c r="B385" s="26" t="s">
        <v>1169</v>
      </c>
      <c r="C385" s="23"/>
      <c r="D385" s="23"/>
      <c r="E385" s="24" t="s">
        <v>414</v>
      </c>
      <c r="F385" s="24" t="s">
        <v>36</v>
      </c>
      <c r="G385" s="24" t="s">
        <v>37</v>
      </c>
      <c r="H385" s="22" t="b">
        <v>0</v>
      </c>
      <c r="I385" s="25">
        <v>1.216470387E10</v>
      </c>
      <c r="J385" s="26" t="s">
        <v>1170</v>
      </c>
      <c r="K385" s="26" t="s">
        <v>238</v>
      </c>
      <c r="L385" s="26" t="s">
        <v>109</v>
      </c>
      <c r="M385" s="79"/>
      <c r="N385" s="85"/>
    </row>
    <row r="386">
      <c r="A386" s="283">
        <v>14.0</v>
      </c>
      <c r="B386" s="107" t="s">
        <v>1171</v>
      </c>
      <c r="C386" s="140"/>
      <c r="D386" s="140"/>
      <c r="E386" s="262" t="s">
        <v>414</v>
      </c>
      <c r="F386" s="131" t="s">
        <v>36</v>
      </c>
      <c r="G386" s="131" t="s">
        <v>37</v>
      </c>
      <c r="H386" s="132" t="b">
        <v>0</v>
      </c>
      <c r="I386" s="133">
        <v>1.4434158104E10</v>
      </c>
      <c r="J386" s="107" t="s">
        <v>1172</v>
      </c>
      <c r="K386" s="107" t="s">
        <v>368</v>
      </c>
      <c r="L386" s="107" t="s">
        <v>105</v>
      </c>
      <c r="M386" s="135"/>
      <c r="N386" s="235"/>
    </row>
    <row r="387">
      <c r="A387" s="282">
        <v>15.0</v>
      </c>
      <c r="B387" s="104" t="s">
        <v>1173</v>
      </c>
      <c r="C387" s="246"/>
      <c r="D387" s="246"/>
      <c r="E387" s="284" t="s">
        <v>414</v>
      </c>
      <c r="F387" s="285" t="s">
        <v>60</v>
      </c>
      <c r="G387" s="285" t="s">
        <v>37</v>
      </c>
      <c r="H387" s="286" t="b">
        <v>0</v>
      </c>
      <c r="I387" s="287">
        <v>1.5708241986E10</v>
      </c>
      <c r="J387" s="104" t="s">
        <v>1174</v>
      </c>
      <c r="K387" s="104" t="s">
        <v>1175</v>
      </c>
      <c r="L387" s="104" t="s">
        <v>70</v>
      </c>
      <c r="M387" s="288"/>
      <c r="N387" s="289"/>
    </row>
    <row r="388">
      <c r="A388" s="283">
        <v>16.0</v>
      </c>
      <c r="B388" s="107" t="s">
        <v>1176</v>
      </c>
      <c r="C388" s="140"/>
      <c r="D388" s="140"/>
      <c r="E388" s="262" t="s">
        <v>414</v>
      </c>
      <c r="F388" s="131" t="s">
        <v>60</v>
      </c>
      <c r="G388" s="131" t="s">
        <v>37</v>
      </c>
      <c r="H388" s="132" t="b">
        <v>0</v>
      </c>
      <c r="I388" s="133">
        <v>1.9176597303E10</v>
      </c>
      <c r="J388" s="107" t="s">
        <v>1177</v>
      </c>
      <c r="K388" s="107" t="s">
        <v>795</v>
      </c>
      <c r="L388" s="107" t="s">
        <v>77</v>
      </c>
      <c r="M388" s="135"/>
      <c r="N388" s="235"/>
    </row>
    <row r="389">
      <c r="A389" s="282">
        <v>17.0</v>
      </c>
      <c r="B389" s="104" t="s">
        <v>1178</v>
      </c>
      <c r="C389" s="246"/>
      <c r="D389" s="246"/>
      <c r="E389" s="284" t="s">
        <v>414</v>
      </c>
      <c r="F389" s="285" t="s">
        <v>36</v>
      </c>
      <c r="G389" s="285" t="s">
        <v>37</v>
      </c>
      <c r="H389" s="286" t="b">
        <v>0</v>
      </c>
      <c r="I389" s="287">
        <v>1.9177569878E10</v>
      </c>
      <c r="J389" s="104" t="s">
        <v>1179</v>
      </c>
      <c r="K389" s="104" t="s">
        <v>418</v>
      </c>
      <c r="L389" s="104" t="s">
        <v>77</v>
      </c>
      <c r="M389" s="288"/>
      <c r="N389" s="289"/>
    </row>
    <row r="390">
      <c r="A390" s="283">
        <v>18.0</v>
      </c>
      <c r="B390" s="107" t="s">
        <v>1180</v>
      </c>
      <c r="C390" s="140"/>
      <c r="D390" s="140"/>
      <c r="E390" s="262" t="s">
        <v>414</v>
      </c>
      <c r="F390" s="131" t="s">
        <v>60</v>
      </c>
      <c r="G390" s="131" t="s">
        <v>37</v>
      </c>
      <c r="H390" s="132" t="b">
        <v>0</v>
      </c>
      <c r="I390" s="133">
        <v>1.21537023E10</v>
      </c>
      <c r="J390" s="107" t="s">
        <v>1181</v>
      </c>
      <c r="K390" s="107" t="s">
        <v>765</v>
      </c>
      <c r="L390" s="107" t="s">
        <v>70</v>
      </c>
      <c r="M390" s="135"/>
      <c r="N390" s="235"/>
    </row>
    <row r="391">
      <c r="A391" s="282">
        <v>19.0</v>
      </c>
      <c r="B391" s="104" t="s">
        <v>1182</v>
      </c>
      <c r="C391" s="246"/>
      <c r="D391" s="246"/>
      <c r="E391" s="284" t="s">
        <v>414</v>
      </c>
      <c r="F391" s="285" t="s">
        <v>60</v>
      </c>
      <c r="G391" s="285" t="s">
        <v>37</v>
      </c>
      <c r="H391" s="286" t="b">
        <v>0</v>
      </c>
      <c r="I391" s="287">
        <v>9.72503422268E11</v>
      </c>
      <c r="J391" s="104" t="s">
        <v>1183</v>
      </c>
      <c r="K391" s="104" t="s">
        <v>250</v>
      </c>
      <c r="L391" s="104" t="s">
        <v>194</v>
      </c>
      <c r="M391" s="288"/>
      <c r="N391" s="289"/>
    </row>
    <row r="392">
      <c r="A392" s="283">
        <v>20.0</v>
      </c>
      <c r="B392" s="259" t="s">
        <v>1184</v>
      </c>
      <c r="C392" s="238"/>
      <c r="D392" s="238"/>
      <c r="E392" s="255" t="s">
        <v>414</v>
      </c>
      <c r="F392" s="256" t="s">
        <v>36</v>
      </c>
      <c r="G392" s="256" t="s">
        <v>37</v>
      </c>
      <c r="H392" s="257" t="b">
        <v>0</v>
      </c>
      <c r="I392" s="258">
        <v>1.9148446241E10</v>
      </c>
      <c r="J392" s="259" t="s">
        <v>1185</v>
      </c>
      <c r="K392" s="259" t="s">
        <v>1186</v>
      </c>
      <c r="L392" s="259" t="s">
        <v>77</v>
      </c>
      <c r="M392" s="260"/>
      <c r="N392" s="261"/>
    </row>
    <row r="393">
      <c r="A393" s="282">
        <v>21.0</v>
      </c>
      <c r="B393" s="241" t="s">
        <v>1187</v>
      </c>
      <c r="C393" s="243"/>
      <c r="D393" s="243"/>
      <c r="E393" s="290" t="s">
        <v>414</v>
      </c>
      <c r="F393" s="291" t="s">
        <v>60</v>
      </c>
      <c r="G393" s="291" t="s">
        <v>37</v>
      </c>
      <c r="H393" s="292" t="b">
        <v>0</v>
      </c>
      <c r="I393" s="293">
        <v>1.6177973138E10</v>
      </c>
      <c r="J393" s="241" t="s">
        <v>1188</v>
      </c>
      <c r="K393" s="241" t="s">
        <v>371</v>
      </c>
      <c r="L393" s="241" t="s">
        <v>301</v>
      </c>
      <c r="M393" s="294"/>
      <c r="N393" s="295"/>
    </row>
    <row r="394">
      <c r="A394" s="283">
        <v>22.0</v>
      </c>
      <c r="B394" s="259" t="s">
        <v>1189</v>
      </c>
      <c r="C394" s="238"/>
      <c r="D394" s="238"/>
      <c r="E394" s="255" t="s">
        <v>414</v>
      </c>
      <c r="F394" s="256" t="s">
        <v>60</v>
      </c>
      <c r="G394" s="256" t="s">
        <v>37</v>
      </c>
      <c r="H394" s="296" t="b">
        <v>0</v>
      </c>
      <c r="I394" s="258">
        <v>1.5083879744E10</v>
      </c>
      <c r="J394" s="259" t="s">
        <v>1190</v>
      </c>
      <c r="K394" s="259" t="s">
        <v>989</v>
      </c>
      <c r="L394" s="259" t="s">
        <v>301</v>
      </c>
      <c r="M394" s="260"/>
      <c r="N394" s="261"/>
    </row>
    <row r="395">
      <c r="A395" s="282">
        <v>23.0</v>
      </c>
      <c r="B395" s="241" t="s">
        <v>1191</v>
      </c>
      <c r="C395" s="243"/>
      <c r="D395" s="243"/>
      <c r="E395" s="290" t="s">
        <v>414</v>
      </c>
      <c r="F395" s="291" t="s">
        <v>60</v>
      </c>
      <c r="G395" s="291" t="s">
        <v>37</v>
      </c>
      <c r="H395" s="292" t="b">
        <v>0</v>
      </c>
      <c r="I395" s="293">
        <v>1.8186746182E10</v>
      </c>
      <c r="J395" s="241" t="s">
        <v>1192</v>
      </c>
      <c r="K395" s="241" t="s">
        <v>1193</v>
      </c>
      <c r="L395" s="241" t="s">
        <v>194</v>
      </c>
      <c r="M395" s="294"/>
      <c r="N395" s="295"/>
    </row>
    <row r="396">
      <c r="A396" s="283">
        <v>24.0</v>
      </c>
      <c r="B396" s="259" t="s">
        <v>1194</v>
      </c>
      <c r="C396" s="238"/>
      <c r="D396" s="238"/>
      <c r="E396" s="255" t="s">
        <v>414</v>
      </c>
      <c r="F396" s="256" t="s">
        <v>60</v>
      </c>
      <c r="G396" s="256" t="s">
        <v>37</v>
      </c>
      <c r="H396" s="257" t="b">
        <v>0</v>
      </c>
      <c r="I396" s="258">
        <v>1.301915426E10</v>
      </c>
      <c r="J396" s="259" t="s">
        <v>1195</v>
      </c>
      <c r="K396" s="259" t="s">
        <v>1196</v>
      </c>
      <c r="L396" s="259" t="s">
        <v>105</v>
      </c>
      <c r="M396" s="260"/>
      <c r="N396" s="261"/>
    </row>
    <row r="397">
      <c r="A397" s="282">
        <v>25.0</v>
      </c>
      <c r="B397" s="241" t="s">
        <v>1197</v>
      </c>
      <c r="C397" s="243"/>
      <c r="D397" s="243"/>
      <c r="E397" s="290" t="s">
        <v>414</v>
      </c>
      <c r="F397" s="291" t="s">
        <v>60</v>
      </c>
      <c r="G397" s="291" t="s">
        <v>37</v>
      </c>
      <c r="H397" s="292" t="b">
        <v>0</v>
      </c>
      <c r="I397" s="293">
        <v>1.310740575E10</v>
      </c>
      <c r="J397" s="241" t="s">
        <v>1198</v>
      </c>
      <c r="K397" s="241" t="s">
        <v>1199</v>
      </c>
      <c r="L397" s="241" t="s">
        <v>194</v>
      </c>
      <c r="M397" s="294"/>
      <c r="N397" s="295"/>
    </row>
    <row r="398">
      <c r="A398" s="283">
        <v>26.0</v>
      </c>
      <c r="B398" s="259" t="s">
        <v>1200</v>
      </c>
      <c r="C398" s="238"/>
      <c r="D398" s="238"/>
      <c r="E398" s="255" t="s">
        <v>414</v>
      </c>
      <c r="F398" s="256" t="s">
        <v>36</v>
      </c>
      <c r="G398" s="256" t="s">
        <v>37</v>
      </c>
      <c r="H398" s="257" t="b">
        <v>0</v>
      </c>
      <c r="I398" s="258">
        <v>1.7733385441E10</v>
      </c>
      <c r="J398" s="259" t="s">
        <v>1201</v>
      </c>
      <c r="K398" s="259" t="s">
        <v>313</v>
      </c>
      <c r="L398" s="259" t="s">
        <v>314</v>
      </c>
      <c r="M398" s="260"/>
      <c r="N398" s="261"/>
    </row>
    <row r="399">
      <c r="A399" s="282">
        <v>27.0</v>
      </c>
      <c r="B399" s="241" t="s">
        <v>1202</v>
      </c>
      <c r="C399" s="243"/>
      <c r="D399" s="243"/>
      <c r="E399" s="290" t="s">
        <v>414</v>
      </c>
      <c r="F399" s="291" t="s">
        <v>60</v>
      </c>
      <c r="G399" s="291" t="s">
        <v>37</v>
      </c>
      <c r="H399" s="292" t="b">
        <v>0</v>
      </c>
      <c r="I399" s="293">
        <v>1.3059428843E10</v>
      </c>
      <c r="J399" s="241" t="s">
        <v>1203</v>
      </c>
      <c r="K399" s="241" t="s">
        <v>1073</v>
      </c>
      <c r="L399" s="241" t="s">
        <v>40</v>
      </c>
      <c r="M399" s="294"/>
      <c r="N399" s="295"/>
    </row>
    <row r="400">
      <c r="A400" s="283">
        <v>28.0</v>
      </c>
      <c r="B400" s="107" t="s">
        <v>1204</v>
      </c>
      <c r="C400" s="140"/>
      <c r="D400" s="140"/>
      <c r="E400" s="262" t="s">
        <v>414</v>
      </c>
      <c r="F400" s="131" t="s">
        <v>36</v>
      </c>
      <c r="G400" s="131" t="s">
        <v>37</v>
      </c>
      <c r="H400" s="132" t="b">
        <v>0</v>
      </c>
      <c r="I400" s="133">
        <v>1.7606440335E10</v>
      </c>
      <c r="J400" s="107" t="s">
        <v>1205</v>
      </c>
      <c r="K400" s="107" t="s">
        <v>1206</v>
      </c>
      <c r="L400" s="107" t="s">
        <v>194</v>
      </c>
      <c r="M400" s="135"/>
      <c r="N400" s="235"/>
    </row>
    <row r="401">
      <c r="A401" s="297">
        <v>29.0</v>
      </c>
      <c r="B401" s="298" t="s">
        <v>1207</v>
      </c>
      <c r="C401" s="299"/>
      <c r="D401" s="299"/>
      <c r="E401" s="300" t="s">
        <v>414</v>
      </c>
      <c r="F401" s="301" t="s">
        <v>60</v>
      </c>
      <c r="G401" s="301" t="s">
        <v>37</v>
      </c>
      <c r="H401" s="302" t="b">
        <v>0</v>
      </c>
      <c r="I401" s="303">
        <v>1.3103826736E10</v>
      </c>
      <c r="J401" s="298" t="s">
        <v>1208</v>
      </c>
      <c r="K401" s="298" t="s">
        <v>1209</v>
      </c>
      <c r="L401" s="298" t="s">
        <v>194</v>
      </c>
      <c r="M401" s="304"/>
      <c r="N401" s="305"/>
    </row>
  </sheetData>
  <dataValidations>
    <dataValidation type="list" allowBlank="1" sqref="C2:C401">
      <formula1>"David,Tuly,Darren,Rachael,Shlomo"</formula1>
    </dataValidation>
    <dataValidation type="list" allowBlank="1" sqref="D2:D401">
      <formula1>"Indicated Interest,Still Need to Gauge Interest,Interviewing,Decision needed,Complete,Not Viable Candidate,Left Voicemail"</formula1>
    </dataValidation>
    <dataValidation type="list" allowBlank="1" sqref="G2:G401">
      <formula1>"35 and under,Over 35"</formula1>
    </dataValidation>
    <dataValidation allowBlank="1" showDropDown="1" sqref="B2:B401 N2:N401"/>
    <dataValidation type="custom" allowBlank="1" showDropDown="1" sqref="A2:A401 I2:I401">
      <formula1>AND(ISNUMBER(A2),(NOT(OR(NOT(ISERROR(DATEVALUE(A2))), AND(ISNUMBER(A2), LEFT(CELL("format", A2))="D")))))</formula1>
    </dataValidation>
    <dataValidation type="list" allowBlank="1" sqref="E2:E401">
      <formula1>"Delegate,Ambassador"</formula1>
    </dataValidation>
    <dataValidation allowBlank="1" showDropDown="1" sqref="J2:M401"/>
    <dataValidation type="list" allowBlank="1" sqref="F2:F401">
      <formula1>"Male,Female"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31.75"/>
    <col customWidth="1" min="4" max="4" width="32.25"/>
    <col customWidth="1" min="5" max="5" width="33.25"/>
    <col customWidth="1" min="7" max="7" width="78.63"/>
  </cols>
  <sheetData>
    <row r="1">
      <c r="A1" s="306" t="s">
        <v>457</v>
      </c>
      <c r="B1" s="307" t="s">
        <v>1210</v>
      </c>
      <c r="C1" s="308" t="s">
        <v>1211</v>
      </c>
      <c r="D1" s="307" t="s">
        <v>1212</v>
      </c>
      <c r="E1" s="307" t="s">
        <v>1213</v>
      </c>
      <c r="F1" s="309" t="s">
        <v>428</v>
      </c>
      <c r="G1" s="310" t="s">
        <v>19</v>
      </c>
    </row>
    <row r="2">
      <c r="A2" s="311" t="s">
        <v>231</v>
      </c>
      <c r="B2" s="13" t="s">
        <v>461</v>
      </c>
      <c r="C2" s="312"/>
      <c r="D2" s="12"/>
      <c r="E2" s="12"/>
      <c r="F2" s="249"/>
      <c r="G2" s="313"/>
    </row>
    <row r="3">
      <c r="A3" s="314" t="s">
        <v>142</v>
      </c>
      <c r="B3" s="24" t="s">
        <v>461</v>
      </c>
      <c r="C3" s="315"/>
      <c r="D3" s="23"/>
      <c r="E3" s="23"/>
      <c r="F3" s="250"/>
      <c r="G3" s="316"/>
    </row>
    <row r="4">
      <c r="A4" s="311" t="s">
        <v>227</v>
      </c>
      <c r="B4" s="13" t="s">
        <v>461</v>
      </c>
      <c r="C4" s="317"/>
      <c r="D4" s="12"/>
      <c r="E4" s="12"/>
      <c r="F4" s="249"/>
      <c r="G4" s="313"/>
    </row>
    <row r="5">
      <c r="A5" s="314" t="s">
        <v>323</v>
      </c>
      <c r="B5" s="24" t="s">
        <v>461</v>
      </c>
      <c r="C5" s="318"/>
      <c r="D5" s="23"/>
      <c r="E5" s="23"/>
      <c r="F5" s="250"/>
      <c r="G5" s="316"/>
    </row>
    <row r="6">
      <c r="A6" s="311" t="s">
        <v>248</v>
      </c>
      <c r="B6" s="13" t="s">
        <v>461</v>
      </c>
      <c r="C6" s="317"/>
      <c r="D6" s="12"/>
      <c r="E6" s="12"/>
      <c r="F6" s="249"/>
      <c r="G6" s="313"/>
    </row>
    <row r="7">
      <c r="A7" s="314" t="s">
        <v>127</v>
      </c>
      <c r="B7" s="24" t="s">
        <v>461</v>
      </c>
      <c r="C7" s="318"/>
      <c r="D7" s="23"/>
      <c r="E7" s="23"/>
      <c r="F7" s="250"/>
      <c r="G7" s="316"/>
    </row>
    <row r="8">
      <c r="A8" s="311" t="s">
        <v>59</v>
      </c>
      <c r="B8" s="13" t="s">
        <v>461</v>
      </c>
      <c r="C8" s="317"/>
      <c r="D8" s="12"/>
      <c r="E8" s="12"/>
      <c r="F8" s="249"/>
      <c r="G8" s="313"/>
    </row>
    <row r="9">
      <c r="A9" s="314" t="s">
        <v>460</v>
      </c>
      <c r="B9" s="24" t="s">
        <v>461</v>
      </c>
      <c r="C9" s="319" t="s">
        <v>1214</v>
      </c>
      <c r="D9" s="23"/>
      <c r="E9" s="23"/>
      <c r="F9" s="250"/>
      <c r="G9" s="316"/>
    </row>
    <row r="10">
      <c r="A10" s="320" t="s">
        <v>43</v>
      </c>
      <c r="B10" s="13" t="s">
        <v>466</v>
      </c>
      <c r="C10" s="321" t="s">
        <v>1214</v>
      </c>
      <c r="D10" s="12"/>
      <c r="E10" s="12"/>
      <c r="F10" s="249"/>
      <c r="G10" s="313"/>
    </row>
    <row r="11">
      <c r="A11" s="314" t="s">
        <v>487</v>
      </c>
      <c r="B11" s="24" t="s">
        <v>466</v>
      </c>
      <c r="C11" s="318"/>
      <c r="D11" s="23"/>
      <c r="E11" s="23"/>
      <c r="F11" s="250"/>
      <c r="G11" s="316"/>
    </row>
    <row r="12">
      <c r="A12" s="311" t="s">
        <v>73</v>
      </c>
      <c r="B12" s="13" t="s">
        <v>466</v>
      </c>
      <c r="C12" s="317"/>
      <c r="D12" s="12"/>
      <c r="E12" s="12"/>
      <c r="F12" s="249"/>
      <c r="G12" s="313"/>
    </row>
    <row r="13">
      <c r="A13" s="314" t="s">
        <v>206</v>
      </c>
      <c r="B13" s="24" t="s">
        <v>466</v>
      </c>
      <c r="C13" s="318"/>
      <c r="D13" s="23"/>
      <c r="E13" s="23"/>
      <c r="F13" s="250"/>
      <c r="G13" s="316"/>
    </row>
    <row r="14">
      <c r="A14" s="311" t="s">
        <v>121</v>
      </c>
      <c r="B14" s="13" t="s">
        <v>466</v>
      </c>
      <c r="C14" s="321" t="s">
        <v>1214</v>
      </c>
      <c r="D14" s="12"/>
      <c r="E14" s="12"/>
      <c r="F14" s="249"/>
      <c r="G14" s="313"/>
    </row>
    <row r="15">
      <c r="A15" s="314" t="s">
        <v>474</v>
      </c>
      <c r="B15" s="24" t="s">
        <v>466</v>
      </c>
      <c r="C15" s="318"/>
      <c r="D15" s="23"/>
      <c r="E15" s="23"/>
      <c r="F15" s="250"/>
      <c r="G15" s="316"/>
    </row>
    <row r="16">
      <c r="A16" s="311" t="s">
        <v>482</v>
      </c>
      <c r="B16" s="13" t="s">
        <v>466</v>
      </c>
      <c r="C16" s="321" t="s">
        <v>1214</v>
      </c>
      <c r="D16" s="12"/>
      <c r="E16" s="12"/>
      <c r="F16" s="249"/>
      <c r="G16" s="313"/>
    </row>
    <row r="17">
      <c r="A17" s="314" t="s">
        <v>525</v>
      </c>
      <c r="B17" s="24" t="s">
        <v>466</v>
      </c>
      <c r="C17" s="318"/>
      <c r="D17" s="23"/>
      <c r="E17" s="23"/>
      <c r="F17" s="250"/>
      <c r="G17" s="316"/>
    </row>
    <row r="18">
      <c r="A18" s="311" t="s">
        <v>481</v>
      </c>
      <c r="B18" s="13" t="s">
        <v>466</v>
      </c>
      <c r="C18" s="322"/>
      <c r="D18" s="12"/>
      <c r="E18" s="12"/>
      <c r="F18" s="249"/>
      <c r="G18" s="313"/>
    </row>
    <row r="19">
      <c r="A19" s="314" t="s">
        <v>520</v>
      </c>
      <c r="B19" s="24" t="s">
        <v>466</v>
      </c>
      <c r="C19" s="323"/>
      <c r="D19" s="23"/>
      <c r="E19" s="23"/>
      <c r="F19" s="250"/>
      <c r="G19" s="316"/>
    </row>
    <row r="20">
      <c r="A20" s="311" t="s">
        <v>476</v>
      </c>
      <c r="B20" s="13" t="s">
        <v>466</v>
      </c>
      <c r="C20" s="324" t="s">
        <v>1214</v>
      </c>
      <c r="D20" s="12"/>
      <c r="E20" s="12"/>
      <c r="F20" s="249"/>
      <c r="G20" s="313"/>
    </row>
    <row r="21">
      <c r="A21" s="314" t="s">
        <v>166</v>
      </c>
      <c r="B21" s="24" t="s">
        <v>466</v>
      </c>
      <c r="C21" s="323"/>
      <c r="D21" s="23"/>
      <c r="E21" s="23"/>
      <c r="F21" s="250"/>
      <c r="G21" s="316"/>
    </row>
    <row r="22">
      <c r="A22" s="311" t="s">
        <v>550</v>
      </c>
      <c r="B22" s="13" t="s">
        <v>466</v>
      </c>
      <c r="C22" s="322"/>
      <c r="D22" s="12"/>
      <c r="E22" s="12"/>
      <c r="F22" s="249"/>
      <c r="G22" s="313"/>
    </row>
    <row r="23">
      <c r="A23" s="314" t="s">
        <v>1215</v>
      </c>
      <c r="B23" s="24" t="s">
        <v>466</v>
      </c>
      <c r="C23" s="323"/>
      <c r="D23" s="23"/>
      <c r="E23" s="23"/>
      <c r="F23" s="250"/>
      <c r="G23" s="316"/>
    </row>
    <row r="24">
      <c r="A24" s="311" t="s">
        <v>276</v>
      </c>
      <c r="B24" s="13" t="s">
        <v>472</v>
      </c>
      <c r="C24" s="322"/>
      <c r="D24" s="12"/>
      <c r="E24" s="12"/>
      <c r="F24" s="249"/>
      <c r="G24" s="313"/>
    </row>
    <row r="25">
      <c r="A25" s="314" t="s">
        <v>512</v>
      </c>
      <c r="B25" s="24" t="s">
        <v>472</v>
      </c>
      <c r="C25" s="323"/>
      <c r="D25" s="23"/>
      <c r="E25" s="23"/>
      <c r="F25" s="250"/>
      <c r="G25" s="316"/>
    </row>
    <row r="26">
      <c r="A26" s="311" t="s">
        <v>533</v>
      </c>
      <c r="B26" s="13" t="s">
        <v>472</v>
      </c>
      <c r="C26" s="322"/>
      <c r="D26" s="12"/>
      <c r="E26" s="12"/>
      <c r="F26" s="249"/>
      <c r="G26" s="313"/>
    </row>
    <row r="27">
      <c r="A27" s="314" t="s">
        <v>477</v>
      </c>
      <c r="B27" s="24" t="s">
        <v>472</v>
      </c>
      <c r="C27" s="325" t="s">
        <v>1214</v>
      </c>
      <c r="D27" s="23"/>
      <c r="E27" s="23"/>
      <c r="F27" s="250"/>
      <c r="G27" s="316"/>
    </row>
    <row r="28">
      <c r="A28" s="311" t="s">
        <v>107</v>
      </c>
      <c r="B28" s="13" t="s">
        <v>472</v>
      </c>
      <c r="C28" s="324" t="s">
        <v>1214</v>
      </c>
      <c r="D28" s="12"/>
      <c r="E28" s="12"/>
      <c r="F28" s="249"/>
      <c r="G28" s="313"/>
    </row>
    <row r="29">
      <c r="A29" s="314" t="s">
        <v>91</v>
      </c>
      <c r="B29" s="24" t="s">
        <v>472</v>
      </c>
      <c r="C29" s="315"/>
      <c r="D29" s="23"/>
      <c r="E29" s="23"/>
      <c r="F29" s="250"/>
      <c r="G29" s="316"/>
    </row>
    <row r="30">
      <c r="A30" s="311" t="s">
        <v>405</v>
      </c>
      <c r="B30" s="13" t="s">
        <v>472</v>
      </c>
      <c r="C30" s="322"/>
      <c r="D30" s="12"/>
      <c r="E30" s="12"/>
      <c r="F30" s="249"/>
      <c r="G30" s="313"/>
    </row>
    <row r="31">
      <c r="A31" s="314" t="s">
        <v>346</v>
      </c>
      <c r="B31" s="24" t="s">
        <v>472</v>
      </c>
      <c r="C31" s="323"/>
      <c r="D31" s="23"/>
      <c r="E31" s="23"/>
      <c r="F31" s="250"/>
      <c r="G31" s="316"/>
    </row>
    <row r="32">
      <c r="A32" s="311" t="s">
        <v>566</v>
      </c>
      <c r="B32" s="13" t="s">
        <v>472</v>
      </c>
      <c r="C32" s="322"/>
      <c r="D32" s="12"/>
      <c r="E32" s="12"/>
      <c r="F32" s="249"/>
      <c r="G32" s="313"/>
    </row>
    <row r="33">
      <c r="A33" s="326" t="s">
        <v>86</v>
      </c>
      <c r="B33" s="24" t="s">
        <v>469</v>
      </c>
      <c r="C33" s="325" t="s">
        <v>1214</v>
      </c>
      <c r="D33" s="23"/>
      <c r="E33" s="23"/>
      <c r="F33" s="250"/>
      <c r="G33" s="316"/>
    </row>
    <row r="34">
      <c r="A34" s="327" t="s">
        <v>473</v>
      </c>
      <c r="B34" s="13" t="s">
        <v>469</v>
      </c>
      <c r="C34" s="322"/>
      <c r="D34" s="12"/>
      <c r="E34" s="12"/>
      <c r="F34" s="249"/>
      <c r="G34" s="313"/>
    </row>
    <row r="35">
      <c r="A35" s="326" t="s">
        <v>383</v>
      </c>
      <c r="B35" s="24" t="s">
        <v>469</v>
      </c>
      <c r="C35" s="323"/>
      <c r="D35" s="23"/>
      <c r="E35" s="23"/>
      <c r="F35" s="250"/>
      <c r="G35" s="316"/>
    </row>
    <row r="36">
      <c r="A36" s="327" t="s">
        <v>111</v>
      </c>
      <c r="B36" s="13" t="s">
        <v>472</v>
      </c>
      <c r="C36" s="322"/>
      <c r="D36" s="12"/>
      <c r="E36" s="12"/>
      <c r="F36" s="249"/>
      <c r="G36" s="313"/>
    </row>
    <row r="37">
      <c r="A37" s="326" t="s">
        <v>195</v>
      </c>
      <c r="B37" s="24" t="s">
        <v>469</v>
      </c>
      <c r="C37" s="328"/>
      <c r="D37" s="23"/>
      <c r="E37" s="23"/>
      <c r="F37" s="250"/>
      <c r="G37" s="316"/>
    </row>
    <row r="38">
      <c r="A38" s="327" t="s">
        <v>1216</v>
      </c>
      <c r="B38" s="13" t="s">
        <v>469</v>
      </c>
      <c r="C38" s="329"/>
      <c r="D38" s="12"/>
      <c r="E38" s="12"/>
      <c r="F38" s="249"/>
      <c r="G38" s="313"/>
    </row>
    <row r="39">
      <c r="A39" s="326" t="s">
        <v>1217</v>
      </c>
      <c r="B39" s="24" t="s">
        <v>469</v>
      </c>
      <c r="C39" s="328"/>
      <c r="D39" s="23"/>
      <c r="E39" s="23"/>
      <c r="F39" s="250"/>
      <c r="G39" s="316"/>
    </row>
    <row r="40">
      <c r="A40" s="327" t="s">
        <v>496</v>
      </c>
      <c r="B40" s="13" t="s">
        <v>469</v>
      </c>
      <c r="C40" s="329"/>
      <c r="D40" s="12"/>
      <c r="E40" s="12"/>
      <c r="F40" s="249"/>
      <c r="G40" s="313"/>
    </row>
    <row r="41">
      <c r="A41" s="326" t="s">
        <v>446</v>
      </c>
      <c r="B41" s="24" t="s">
        <v>472</v>
      </c>
      <c r="C41" s="328"/>
      <c r="D41" s="23"/>
      <c r="E41" s="23"/>
      <c r="F41" s="250"/>
      <c r="G41" s="316"/>
    </row>
    <row r="42">
      <c r="A42" s="327" t="s">
        <v>369</v>
      </c>
      <c r="B42" s="13" t="s">
        <v>469</v>
      </c>
      <c r="C42" s="329"/>
      <c r="D42" s="12"/>
      <c r="E42" s="12"/>
      <c r="F42" s="249"/>
      <c r="G42" s="313"/>
    </row>
    <row r="43">
      <c r="A43" s="326" t="s">
        <v>518</v>
      </c>
      <c r="B43" s="24" t="s">
        <v>469</v>
      </c>
      <c r="C43" s="328"/>
      <c r="D43" s="23"/>
      <c r="E43" s="23"/>
      <c r="F43" s="250"/>
      <c r="G43" s="316"/>
    </row>
    <row r="44">
      <c r="A44" s="327" t="s">
        <v>506</v>
      </c>
      <c r="B44" s="13" t="s">
        <v>469</v>
      </c>
      <c r="C44" s="329"/>
      <c r="D44" s="12"/>
      <c r="E44" s="12"/>
      <c r="F44" s="249"/>
      <c r="G44" s="313"/>
    </row>
    <row r="45">
      <c r="A45" s="326" t="s">
        <v>284</v>
      </c>
      <c r="B45" s="24" t="s">
        <v>469</v>
      </c>
      <c r="C45" s="328"/>
      <c r="D45" s="23"/>
      <c r="E45" s="23"/>
      <c r="F45" s="250"/>
      <c r="G45" s="316"/>
    </row>
    <row r="46">
      <c r="A46" s="327" t="s">
        <v>269</v>
      </c>
      <c r="B46" s="13" t="s">
        <v>469</v>
      </c>
      <c r="C46" s="329"/>
      <c r="D46" s="12"/>
      <c r="E46" s="12"/>
      <c r="F46" s="249"/>
      <c r="G46" s="313"/>
    </row>
    <row r="47">
      <c r="A47" s="326" t="s">
        <v>264</v>
      </c>
      <c r="B47" s="24" t="s">
        <v>469</v>
      </c>
      <c r="C47" s="328"/>
      <c r="D47" s="23"/>
      <c r="E47" s="23"/>
      <c r="F47" s="250"/>
      <c r="G47" s="316"/>
    </row>
    <row r="48">
      <c r="A48" s="327" t="s">
        <v>549</v>
      </c>
      <c r="B48" s="13" t="s">
        <v>461</v>
      </c>
      <c r="C48" s="322"/>
      <c r="D48" s="12"/>
      <c r="E48" s="12"/>
      <c r="F48" s="249"/>
      <c r="G48" s="313"/>
    </row>
    <row r="49">
      <c r="A49" s="326" t="s">
        <v>534</v>
      </c>
      <c r="B49" s="24" t="s">
        <v>461</v>
      </c>
      <c r="C49" s="323"/>
      <c r="D49" s="23"/>
      <c r="E49" s="23"/>
      <c r="F49" s="250"/>
      <c r="G49" s="316"/>
    </row>
    <row r="50">
      <c r="A50" s="327" t="s">
        <v>298</v>
      </c>
      <c r="B50" s="13" t="s">
        <v>537</v>
      </c>
      <c r="C50" s="329"/>
      <c r="D50" s="12"/>
      <c r="E50" s="12"/>
      <c r="F50" s="249"/>
      <c r="G50" s="313"/>
    </row>
    <row r="51">
      <c r="A51" s="326" t="s">
        <v>224</v>
      </c>
      <c r="B51" s="24" t="s">
        <v>537</v>
      </c>
      <c r="C51" s="328"/>
      <c r="D51" s="23"/>
      <c r="E51" s="23"/>
      <c r="F51" s="250"/>
      <c r="G51" s="316"/>
    </row>
    <row r="52">
      <c r="A52" s="327" t="s">
        <v>311</v>
      </c>
      <c r="B52" s="13" t="s">
        <v>466</v>
      </c>
      <c r="C52" s="329"/>
      <c r="D52" s="12"/>
      <c r="E52" s="12"/>
      <c r="F52" s="249"/>
      <c r="G52" s="313"/>
    </row>
    <row r="53">
      <c r="A53" s="326" t="s">
        <v>280</v>
      </c>
      <c r="B53" s="24" t="s">
        <v>472</v>
      </c>
      <c r="C53" s="328"/>
      <c r="D53" s="23"/>
      <c r="E53" s="23"/>
      <c r="F53" s="250"/>
      <c r="G53" s="316"/>
    </row>
    <row r="54">
      <c r="A54" s="327" t="s">
        <v>34</v>
      </c>
      <c r="B54" s="13" t="s">
        <v>472</v>
      </c>
      <c r="C54" s="329"/>
      <c r="D54" s="12"/>
      <c r="E54" s="12"/>
      <c r="F54" s="249"/>
      <c r="G54" s="313"/>
    </row>
    <row r="55">
      <c r="A55" s="330" t="s">
        <v>1218</v>
      </c>
      <c r="B55" s="24" t="s">
        <v>469</v>
      </c>
      <c r="C55" s="323"/>
      <c r="D55" s="23"/>
      <c r="E55" s="23"/>
      <c r="F55" s="250"/>
      <c r="G55" s="316"/>
    </row>
    <row r="56">
      <c r="A56" s="331" t="s">
        <v>295</v>
      </c>
      <c r="B56" s="13" t="s">
        <v>466</v>
      </c>
      <c r="C56" s="322"/>
      <c r="D56" s="12"/>
      <c r="E56" s="12"/>
      <c r="F56" s="249"/>
      <c r="G56" s="313"/>
    </row>
    <row r="57">
      <c r="A57" s="330" t="s">
        <v>1219</v>
      </c>
      <c r="B57" s="24" t="s">
        <v>461</v>
      </c>
      <c r="C57" s="325" t="s">
        <v>1214</v>
      </c>
      <c r="D57" s="23"/>
      <c r="E57" s="23"/>
      <c r="F57" s="250"/>
      <c r="G57" s="316"/>
    </row>
    <row r="58">
      <c r="A58" s="331" t="s">
        <v>501</v>
      </c>
      <c r="B58" s="13" t="s">
        <v>466</v>
      </c>
      <c r="C58" s="322"/>
      <c r="D58" s="12"/>
      <c r="E58" s="12"/>
      <c r="F58" s="249"/>
      <c r="G58" s="313"/>
    </row>
    <row r="59">
      <c r="A59" s="330" t="s">
        <v>216</v>
      </c>
      <c r="B59" s="24" t="s">
        <v>466</v>
      </c>
      <c r="C59" s="323"/>
      <c r="D59" s="23"/>
      <c r="E59" s="23"/>
      <c r="F59" s="250"/>
      <c r="G59" s="316"/>
    </row>
    <row r="60">
      <c r="A60" s="331" t="s">
        <v>1220</v>
      </c>
      <c r="B60" s="13" t="s">
        <v>469</v>
      </c>
      <c r="C60" s="322"/>
      <c r="D60" s="12"/>
      <c r="E60" s="12"/>
      <c r="F60" s="249"/>
      <c r="G60" s="313"/>
    </row>
    <row r="61">
      <c r="A61" s="330" t="s">
        <v>349</v>
      </c>
      <c r="B61" s="24" t="s">
        <v>469</v>
      </c>
      <c r="C61" s="323"/>
      <c r="D61" s="23"/>
      <c r="E61" s="23"/>
      <c r="F61" s="250"/>
      <c r="G61" s="316"/>
    </row>
    <row r="62">
      <c r="A62" s="331" t="s">
        <v>515</v>
      </c>
      <c r="B62" s="13" t="s">
        <v>461</v>
      </c>
      <c r="C62" s="324" t="s">
        <v>1221</v>
      </c>
      <c r="D62" s="12"/>
      <c r="E62" s="12"/>
      <c r="F62" s="249"/>
      <c r="G62" s="313"/>
    </row>
    <row r="63">
      <c r="A63" s="330" t="s">
        <v>478</v>
      </c>
      <c r="B63" s="24" t="s">
        <v>461</v>
      </c>
      <c r="C63" s="323"/>
      <c r="D63" s="23"/>
      <c r="E63" s="23"/>
      <c r="F63" s="250"/>
      <c r="G63" s="316"/>
    </row>
    <row r="64">
      <c r="A64" s="331" t="s">
        <v>399</v>
      </c>
      <c r="B64" s="13" t="s">
        <v>461</v>
      </c>
      <c r="C64" s="322"/>
      <c r="D64" s="12"/>
      <c r="E64" s="12"/>
      <c r="F64" s="249"/>
      <c r="G64" s="313"/>
    </row>
    <row r="65">
      <c r="A65" s="330" t="s">
        <v>334</v>
      </c>
      <c r="B65" s="24" t="s">
        <v>466</v>
      </c>
      <c r="C65" s="323"/>
      <c r="D65" s="23"/>
      <c r="E65" s="23"/>
      <c r="F65" s="250"/>
      <c r="G65" s="316"/>
    </row>
    <row r="66">
      <c r="A66" s="331" t="s">
        <v>355</v>
      </c>
      <c r="B66" s="13" t="s">
        <v>466</v>
      </c>
      <c r="C66" s="322"/>
      <c r="D66" s="12"/>
      <c r="E66" s="12"/>
      <c r="F66" s="249"/>
      <c r="G66" s="313"/>
    </row>
    <row r="67">
      <c r="A67" s="330" t="s">
        <v>1222</v>
      </c>
      <c r="B67" s="24" t="s">
        <v>466</v>
      </c>
      <c r="C67" s="323"/>
      <c r="D67" s="23"/>
      <c r="E67" s="23"/>
      <c r="F67" s="250"/>
      <c r="G67" s="316"/>
    </row>
    <row r="68">
      <c r="A68" s="331" t="s">
        <v>157</v>
      </c>
      <c r="B68" s="13" t="s">
        <v>472</v>
      </c>
      <c r="C68" s="322"/>
      <c r="D68" s="12"/>
      <c r="E68" s="12"/>
      <c r="F68" s="249"/>
      <c r="G68" s="313"/>
    </row>
    <row r="69">
      <c r="A69" s="330" t="s">
        <v>467</v>
      </c>
      <c r="B69" s="24" t="s">
        <v>466</v>
      </c>
      <c r="C69" s="323"/>
      <c r="D69" s="23"/>
      <c r="E69" s="23"/>
      <c r="F69" s="250"/>
      <c r="G69" s="316"/>
    </row>
    <row r="70">
      <c r="A70" s="331" t="s">
        <v>391</v>
      </c>
      <c r="B70" s="13" t="s">
        <v>466</v>
      </c>
      <c r="C70" s="322"/>
      <c r="D70" s="12"/>
      <c r="E70" s="12"/>
      <c r="F70" s="249"/>
      <c r="G70" s="313"/>
    </row>
    <row r="71">
      <c r="A71" s="330" t="s">
        <v>1223</v>
      </c>
      <c r="B71" s="24" t="s">
        <v>469</v>
      </c>
      <c r="C71" s="323"/>
      <c r="D71" s="23"/>
      <c r="E71" s="23"/>
      <c r="F71" s="250"/>
      <c r="G71" s="316"/>
    </row>
    <row r="72">
      <c r="A72" s="331" t="s">
        <v>132</v>
      </c>
      <c r="B72" s="13" t="s">
        <v>461</v>
      </c>
      <c r="C72" s="322"/>
      <c r="D72" s="12"/>
      <c r="E72" s="12"/>
      <c r="F72" s="249"/>
      <c r="G72" s="313"/>
    </row>
    <row r="73">
      <c r="A73" s="330" t="s">
        <v>394</v>
      </c>
      <c r="B73" s="24" t="s">
        <v>469</v>
      </c>
      <c r="C73" s="323"/>
      <c r="D73" s="23"/>
      <c r="E73" s="23"/>
      <c r="F73" s="250"/>
      <c r="G73" s="316"/>
    </row>
    <row r="74">
      <c r="A74" s="327" t="s">
        <v>97</v>
      </c>
      <c r="B74" s="13" t="s">
        <v>461</v>
      </c>
      <c r="C74" s="324" t="s">
        <v>1214</v>
      </c>
      <c r="D74" s="12"/>
      <c r="E74" s="12"/>
      <c r="F74" s="249"/>
      <c r="G74" s="313"/>
    </row>
    <row r="75">
      <c r="A75" s="332"/>
      <c r="B75" s="23"/>
      <c r="C75" s="323"/>
      <c r="D75" s="23"/>
      <c r="E75" s="23"/>
      <c r="F75" s="250"/>
      <c r="G75" s="316"/>
    </row>
    <row r="76">
      <c r="A76" s="333"/>
      <c r="B76" s="12"/>
      <c r="C76" s="322"/>
      <c r="D76" s="12"/>
      <c r="E76" s="12"/>
      <c r="F76" s="249"/>
      <c r="G76" s="313"/>
    </row>
    <row r="77">
      <c r="A77" s="332"/>
      <c r="B77" s="23"/>
      <c r="C77" s="323"/>
      <c r="D77" s="23"/>
      <c r="E77" s="23"/>
      <c r="F77" s="250"/>
      <c r="G77" s="316"/>
    </row>
    <row r="78">
      <c r="A78" s="333"/>
      <c r="B78" s="12"/>
      <c r="C78" s="322"/>
      <c r="D78" s="12"/>
      <c r="E78" s="12"/>
      <c r="F78" s="249"/>
      <c r="G78" s="313"/>
    </row>
    <row r="79">
      <c r="A79" s="332"/>
      <c r="B79" s="23"/>
      <c r="C79" s="323"/>
      <c r="D79" s="23"/>
      <c r="E79" s="23"/>
      <c r="F79" s="250"/>
      <c r="G79" s="316"/>
    </row>
    <row r="80">
      <c r="A80" s="333"/>
      <c r="B80" s="12"/>
      <c r="C80" s="322"/>
      <c r="D80" s="12"/>
      <c r="E80" s="12"/>
      <c r="F80" s="249"/>
      <c r="G80" s="313"/>
    </row>
    <row r="81">
      <c r="A81" s="332"/>
      <c r="B81" s="23"/>
      <c r="C81" s="323"/>
      <c r="D81" s="23"/>
      <c r="E81" s="23"/>
      <c r="F81" s="250"/>
      <c r="G81" s="316"/>
    </row>
    <row r="82">
      <c r="A82" s="333"/>
      <c r="B82" s="12"/>
      <c r="C82" s="322"/>
      <c r="D82" s="12"/>
      <c r="E82" s="12"/>
      <c r="F82" s="249"/>
      <c r="G82" s="313"/>
    </row>
    <row r="83">
      <c r="A83" s="332"/>
      <c r="B83" s="23"/>
      <c r="C83" s="323"/>
      <c r="D83" s="23"/>
      <c r="E83" s="23"/>
      <c r="F83" s="250"/>
      <c r="G83" s="316"/>
    </row>
    <row r="84">
      <c r="A84" s="333"/>
      <c r="B84" s="12"/>
      <c r="C84" s="322"/>
      <c r="D84" s="12"/>
      <c r="E84" s="12"/>
      <c r="F84" s="249"/>
      <c r="G84" s="313"/>
    </row>
    <row r="85">
      <c r="A85" s="334"/>
      <c r="B85" s="335"/>
      <c r="C85" s="336"/>
      <c r="D85" s="335"/>
      <c r="E85" s="335"/>
      <c r="F85" s="337"/>
      <c r="G85" s="338"/>
    </row>
  </sheetData>
  <dataValidations>
    <dataValidation type="list" allowBlank="1" sqref="C2:C85">
      <formula1>"NDA Sent,NDA Signed"</formula1>
    </dataValidation>
    <dataValidation allowBlank="1" showDropDown="1" sqref="A2:A85 G2:G85"/>
    <dataValidation type="list" allowBlank="1" sqref="B2:B85">
      <formula1>"David,Rachael,Tuly,Darren,Shlomo"</formula1>
    </dataValidation>
    <dataValidation type="list" allowBlank="1" sqref="D2:D85">
      <formula1>"Yes,No"</formula1>
    </dataValidation>
    <dataValidation type="list" allowBlank="1" sqref="E2:E85">
      <formula1>"Complete,In Progress"</formula1>
    </dataValidation>
    <dataValidation type="list" allowBlank="1" sqref="F2:F85">
      <formula1>"Not Applicable,Complete,In Progress"</formula1>
    </dataValidation>
  </dataValidations>
  <hyperlinks>
    <hyperlink r:id="rId1" ref="A10"/>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20.88"/>
    <col customWidth="1" min="3" max="3" width="36.75"/>
    <col customWidth="1" min="4" max="4" width="35.5"/>
    <col customWidth="1" min="5" max="5" width="19.75"/>
    <col customWidth="1" min="6" max="6" width="25.0"/>
    <col customWidth="1" min="7" max="7" width="19.75"/>
    <col customWidth="1" min="8" max="8" width="17.88"/>
    <col customWidth="1" min="9" max="9" width="35.13"/>
    <col customWidth="1" min="10" max="10" width="16.75"/>
    <col customWidth="1" min="11" max="11" width="16.38"/>
    <col customWidth="1" min="12" max="12" width="25.75"/>
    <col customWidth="1" min="13" max="13" width="59.63"/>
  </cols>
  <sheetData>
    <row r="1">
      <c r="A1" s="339" t="s">
        <v>1224</v>
      </c>
      <c r="B1" s="340" t="s">
        <v>1225</v>
      </c>
      <c r="C1" s="340" t="s">
        <v>1226</v>
      </c>
      <c r="D1" s="340" t="s">
        <v>1227</v>
      </c>
      <c r="E1" s="340" t="s">
        <v>1228</v>
      </c>
      <c r="F1" s="340" t="s">
        <v>1229</v>
      </c>
      <c r="G1" s="340" t="s">
        <v>1230</v>
      </c>
      <c r="H1" s="340" t="s">
        <v>1231</v>
      </c>
      <c r="I1" s="340" t="s">
        <v>1232</v>
      </c>
      <c r="J1" s="340" t="s">
        <v>1233</v>
      </c>
      <c r="K1" s="341" t="s">
        <v>1234</v>
      </c>
      <c r="L1" s="342" t="s">
        <v>1235</v>
      </c>
      <c r="M1" s="343" t="s">
        <v>1236</v>
      </c>
      <c r="N1" s="344"/>
      <c r="O1" s="344"/>
      <c r="P1" s="344"/>
      <c r="Q1" s="344"/>
      <c r="R1" s="344"/>
      <c r="S1" s="344"/>
      <c r="T1" s="344"/>
      <c r="U1" s="344"/>
      <c r="V1" s="344"/>
      <c r="W1" s="344"/>
      <c r="X1" s="344"/>
      <c r="Y1" s="344"/>
      <c r="Z1" s="344"/>
      <c r="AA1" s="344"/>
      <c r="AB1" s="344"/>
      <c r="AC1" s="344"/>
      <c r="AD1" s="344"/>
      <c r="AE1" s="344"/>
      <c r="AF1" s="344"/>
    </row>
    <row r="2">
      <c r="A2" s="345">
        <v>1.0</v>
      </c>
      <c r="B2" s="346" t="s">
        <v>34</v>
      </c>
      <c r="C2" s="347" t="s">
        <v>1237</v>
      </c>
      <c r="D2" s="347" t="s">
        <v>1238</v>
      </c>
      <c r="E2" s="348"/>
      <c r="F2" s="348"/>
      <c r="G2" s="348"/>
      <c r="H2" s="348">
        <v>3.057998502E9</v>
      </c>
      <c r="I2" s="349" t="s">
        <v>38</v>
      </c>
      <c r="J2" s="349" t="s">
        <v>39</v>
      </c>
      <c r="K2" s="349" t="s">
        <v>40</v>
      </c>
      <c r="L2" s="350" t="s">
        <v>41</v>
      </c>
      <c r="M2" s="350" t="s">
        <v>42</v>
      </c>
      <c r="N2" s="351"/>
      <c r="O2" s="351"/>
      <c r="P2" s="351"/>
      <c r="Q2" s="351"/>
      <c r="R2" s="351"/>
      <c r="S2" s="351"/>
      <c r="T2" s="351"/>
      <c r="U2" s="351"/>
      <c r="V2" s="351"/>
      <c r="W2" s="351"/>
      <c r="X2" s="351"/>
      <c r="Y2" s="351"/>
      <c r="Z2" s="351"/>
      <c r="AA2" s="351"/>
      <c r="AB2" s="351"/>
      <c r="AC2" s="351"/>
      <c r="AD2" s="351"/>
      <c r="AE2" s="351"/>
      <c r="AF2" s="351"/>
    </row>
    <row r="3">
      <c r="A3" s="352">
        <v>2.0</v>
      </c>
      <c r="B3" s="346" t="s">
        <v>431</v>
      </c>
      <c r="C3" s="347" t="s">
        <v>1239</v>
      </c>
      <c r="D3" s="347" t="s">
        <v>1240</v>
      </c>
      <c r="E3" s="348"/>
      <c r="F3" s="348"/>
      <c r="G3" s="348"/>
      <c r="H3" s="348">
        <v>9.546449177E9</v>
      </c>
      <c r="I3" s="349" t="s">
        <v>1124</v>
      </c>
      <c r="J3" s="349" t="s">
        <v>994</v>
      </c>
      <c r="K3" s="349" t="s">
        <v>40</v>
      </c>
      <c r="L3" s="353" t="s">
        <v>1241</v>
      </c>
      <c r="M3" s="353" t="s">
        <v>1242</v>
      </c>
      <c r="N3" s="351"/>
      <c r="O3" s="351"/>
      <c r="P3" s="351"/>
      <c r="Q3" s="351"/>
      <c r="R3" s="351"/>
      <c r="S3" s="351"/>
      <c r="T3" s="351"/>
      <c r="U3" s="351"/>
      <c r="V3" s="351"/>
      <c r="W3" s="351"/>
      <c r="X3" s="351"/>
      <c r="Y3" s="351"/>
      <c r="Z3" s="351"/>
      <c r="AA3" s="351"/>
      <c r="AB3" s="351"/>
      <c r="AC3" s="351"/>
      <c r="AD3" s="351"/>
      <c r="AE3" s="351"/>
      <c r="AF3" s="351"/>
    </row>
    <row r="4">
      <c r="A4" s="345">
        <v>3.0</v>
      </c>
      <c r="B4" s="354" t="s">
        <v>43</v>
      </c>
      <c r="C4" s="347" t="s">
        <v>1243</v>
      </c>
      <c r="D4" s="347" t="s">
        <v>1244</v>
      </c>
      <c r="E4" s="348"/>
      <c r="F4" s="348"/>
      <c r="G4" s="348"/>
      <c r="H4" s="348">
        <v>7.037255084E9</v>
      </c>
      <c r="I4" s="349" t="s">
        <v>46</v>
      </c>
      <c r="J4" s="349" t="s">
        <v>47</v>
      </c>
      <c r="K4" s="349" t="s">
        <v>48</v>
      </c>
      <c r="L4" s="355" t="s">
        <v>49</v>
      </c>
      <c r="M4" s="355" t="s">
        <v>50</v>
      </c>
      <c r="N4" s="351"/>
      <c r="O4" s="351"/>
      <c r="P4" s="351"/>
      <c r="Q4" s="351"/>
      <c r="R4" s="351"/>
      <c r="S4" s="351"/>
      <c r="T4" s="351"/>
      <c r="U4" s="351"/>
      <c r="V4" s="351"/>
      <c r="W4" s="351"/>
      <c r="X4" s="351"/>
      <c r="Y4" s="351"/>
      <c r="Z4" s="351"/>
      <c r="AA4" s="351"/>
      <c r="AB4" s="351"/>
      <c r="AC4" s="351"/>
      <c r="AD4" s="351"/>
      <c r="AE4" s="351"/>
      <c r="AF4" s="351"/>
    </row>
    <row r="5">
      <c r="A5" s="352">
        <v>4.0</v>
      </c>
      <c r="B5" s="356" t="s">
        <v>51</v>
      </c>
      <c r="C5" s="357" t="s">
        <v>1245</v>
      </c>
      <c r="D5" s="357" t="s">
        <v>1246</v>
      </c>
      <c r="E5" s="358" t="s">
        <v>1247</v>
      </c>
      <c r="F5" s="359"/>
      <c r="G5" s="359"/>
      <c r="H5" s="359">
        <v>9.733492734E9</v>
      </c>
      <c r="I5" s="349" t="s">
        <v>54</v>
      </c>
      <c r="J5" s="360" t="s">
        <v>55</v>
      </c>
      <c r="K5" s="360" t="s">
        <v>56</v>
      </c>
      <c r="L5" s="353" t="s">
        <v>57</v>
      </c>
      <c r="M5" s="361" t="s">
        <v>58</v>
      </c>
      <c r="N5" s="351"/>
      <c r="O5" s="351"/>
      <c r="P5" s="351"/>
      <c r="Q5" s="351"/>
      <c r="R5" s="351"/>
      <c r="S5" s="351"/>
      <c r="T5" s="351"/>
      <c r="U5" s="351"/>
      <c r="V5" s="351"/>
      <c r="W5" s="351"/>
      <c r="X5" s="351"/>
      <c r="Y5" s="351"/>
      <c r="Z5" s="351"/>
      <c r="AA5" s="351"/>
      <c r="AB5" s="351"/>
      <c r="AC5" s="351"/>
      <c r="AD5" s="351"/>
      <c r="AE5" s="351"/>
      <c r="AF5" s="351"/>
    </row>
    <row r="6">
      <c r="A6" s="345">
        <v>5.0</v>
      </c>
      <c r="B6" s="354" t="s">
        <v>59</v>
      </c>
      <c r="C6" s="347" t="s">
        <v>1248</v>
      </c>
      <c r="D6" s="347" t="s">
        <v>1249</v>
      </c>
      <c r="E6" s="348"/>
      <c r="F6" s="348" t="s">
        <v>1250</v>
      </c>
      <c r="G6" s="348"/>
      <c r="H6" s="348">
        <v>9.723751491E9</v>
      </c>
      <c r="I6" s="349" t="s">
        <v>61</v>
      </c>
      <c r="J6" s="349" t="s">
        <v>62</v>
      </c>
      <c r="K6" s="349" t="s">
        <v>63</v>
      </c>
      <c r="L6" s="350" t="s">
        <v>64</v>
      </c>
      <c r="M6" s="350" t="s">
        <v>65</v>
      </c>
      <c r="N6" s="351"/>
      <c r="O6" s="351"/>
      <c r="P6" s="351"/>
      <c r="Q6" s="351"/>
      <c r="R6" s="351"/>
      <c r="S6" s="351"/>
      <c r="T6" s="351"/>
      <c r="U6" s="351"/>
      <c r="V6" s="351"/>
      <c r="W6" s="351"/>
      <c r="X6" s="351"/>
      <c r="Y6" s="351"/>
      <c r="Z6" s="351"/>
      <c r="AA6" s="351"/>
      <c r="AB6" s="351"/>
      <c r="AC6" s="351"/>
      <c r="AD6" s="351"/>
      <c r="AE6" s="351"/>
      <c r="AF6" s="351"/>
    </row>
    <row r="7">
      <c r="A7" s="352">
        <v>6.0</v>
      </c>
      <c r="B7" s="354" t="s">
        <v>66</v>
      </c>
      <c r="C7" s="347" t="s">
        <v>1251</v>
      </c>
      <c r="D7" s="347" t="s">
        <v>1252</v>
      </c>
      <c r="E7" s="348"/>
      <c r="F7" s="348"/>
      <c r="G7" s="348"/>
      <c r="H7" s="348">
        <v>2.152757119E9</v>
      </c>
      <c r="I7" s="349" t="s">
        <v>68</v>
      </c>
      <c r="J7" s="349" t="s">
        <v>69</v>
      </c>
      <c r="K7" s="349" t="s">
        <v>70</v>
      </c>
      <c r="L7" s="353" t="s">
        <v>71</v>
      </c>
      <c r="M7" s="353" t="s">
        <v>72</v>
      </c>
      <c r="N7" s="351"/>
      <c r="O7" s="351"/>
      <c r="P7" s="351"/>
      <c r="Q7" s="351"/>
      <c r="R7" s="351"/>
      <c r="S7" s="351"/>
      <c r="T7" s="351"/>
      <c r="U7" s="351"/>
      <c r="V7" s="351"/>
      <c r="W7" s="351"/>
      <c r="X7" s="351"/>
      <c r="Y7" s="351"/>
      <c r="Z7" s="351"/>
      <c r="AA7" s="351"/>
      <c r="AB7" s="351"/>
      <c r="AC7" s="351"/>
      <c r="AD7" s="351"/>
      <c r="AE7" s="351"/>
      <c r="AF7" s="351"/>
    </row>
    <row r="8">
      <c r="A8" s="345">
        <v>7.0</v>
      </c>
      <c r="B8" s="354" t="s">
        <v>73</v>
      </c>
      <c r="C8" s="347" t="s">
        <v>1253</v>
      </c>
      <c r="D8" s="347" t="s">
        <v>1254</v>
      </c>
      <c r="E8" s="348"/>
      <c r="F8" s="348"/>
      <c r="G8" s="348"/>
      <c r="H8" s="348">
        <v>5.16680655E9</v>
      </c>
      <c r="I8" s="349" t="s">
        <v>75</v>
      </c>
      <c r="J8" s="349" t="s">
        <v>76</v>
      </c>
      <c r="K8" s="349" t="s">
        <v>77</v>
      </c>
      <c r="L8" s="350" t="s">
        <v>78</v>
      </c>
      <c r="M8" s="355" t="s">
        <v>79</v>
      </c>
      <c r="N8" s="351"/>
      <c r="O8" s="351"/>
      <c r="P8" s="351"/>
      <c r="Q8" s="351"/>
      <c r="R8" s="351"/>
      <c r="S8" s="351"/>
      <c r="T8" s="351"/>
      <c r="U8" s="351"/>
      <c r="V8" s="351"/>
      <c r="W8" s="351"/>
      <c r="X8" s="351"/>
      <c r="Y8" s="351"/>
      <c r="Z8" s="351"/>
      <c r="AA8" s="351"/>
      <c r="AB8" s="351"/>
      <c r="AC8" s="351"/>
      <c r="AD8" s="351"/>
      <c r="AE8" s="351"/>
      <c r="AF8" s="351"/>
    </row>
    <row r="9">
      <c r="A9" s="352">
        <v>8.0</v>
      </c>
      <c r="B9" s="354" t="s">
        <v>80</v>
      </c>
      <c r="C9" s="347" t="s">
        <v>85</v>
      </c>
      <c r="D9" s="347"/>
      <c r="E9" s="348"/>
      <c r="F9" s="348"/>
      <c r="G9" s="348"/>
      <c r="H9" s="348">
        <v>8.048367766E9</v>
      </c>
      <c r="I9" s="349" t="s">
        <v>82</v>
      </c>
      <c r="J9" s="349" t="s">
        <v>83</v>
      </c>
      <c r="K9" s="349" t="s">
        <v>84</v>
      </c>
      <c r="L9" s="353" t="s">
        <v>85</v>
      </c>
      <c r="M9" s="362"/>
      <c r="N9" s="351"/>
      <c r="O9" s="351"/>
      <c r="P9" s="351"/>
      <c r="Q9" s="351"/>
      <c r="R9" s="351"/>
      <c r="S9" s="351"/>
      <c r="T9" s="351"/>
      <c r="U9" s="351"/>
      <c r="V9" s="351"/>
      <c r="W9" s="351"/>
      <c r="X9" s="351"/>
      <c r="Y9" s="351"/>
      <c r="Z9" s="351"/>
      <c r="AA9" s="351"/>
      <c r="AB9" s="351"/>
      <c r="AC9" s="351"/>
      <c r="AD9" s="351"/>
      <c r="AE9" s="351"/>
      <c r="AF9" s="351"/>
    </row>
    <row r="10">
      <c r="A10" s="345">
        <v>9.0</v>
      </c>
      <c r="B10" s="349" t="s">
        <v>86</v>
      </c>
      <c r="C10" s="347" t="s">
        <v>1255</v>
      </c>
      <c r="D10" s="347" t="s">
        <v>1256</v>
      </c>
      <c r="E10" s="348"/>
      <c r="F10" s="348"/>
      <c r="G10" s="348"/>
      <c r="H10" s="348">
        <v>9.1720775E9</v>
      </c>
      <c r="I10" s="349" t="s">
        <v>88</v>
      </c>
      <c r="J10" s="349" t="s">
        <v>89</v>
      </c>
      <c r="K10" s="349" t="s">
        <v>77</v>
      </c>
      <c r="L10" s="353" t="s">
        <v>90</v>
      </c>
      <c r="M10" s="362"/>
      <c r="N10" s="351"/>
      <c r="O10" s="351"/>
      <c r="P10" s="351"/>
      <c r="Q10" s="351"/>
      <c r="R10" s="351"/>
      <c r="S10" s="351"/>
      <c r="T10" s="351"/>
      <c r="U10" s="351"/>
      <c r="V10" s="351"/>
      <c r="W10" s="351"/>
      <c r="X10" s="351"/>
      <c r="Y10" s="351"/>
      <c r="Z10" s="351"/>
      <c r="AA10" s="351"/>
      <c r="AB10" s="351"/>
      <c r="AC10" s="351"/>
      <c r="AD10" s="351"/>
      <c r="AE10" s="351"/>
      <c r="AF10" s="351"/>
    </row>
    <row r="11">
      <c r="A11" s="352">
        <v>10.0</v>
      </c>
      <c r="B11" s="363" t="s">
        <v>91</v>
      </c>
      <c r="C11" s="347" t="s">
        <v>1257</v>
      </c>
      <c r="D11" s="347" t="s">
        <v>1258</v>
      </c>
      <c r="E11" s="348" t="s">
        <v>1259</v>
      </c>
      <c r="F11" s="348" t="s">
        <v>1260</v>
      </c>
      <c r="G11" s="348"/>
      <c r="H11" s="348">
        <v>4.15250005E9</v>
      </c>
      <c r="I11" s="349" t="s">
        <v>93</v>
      </c>
      <c r="J11" s="349" t="s">
        <v>94</v>
      </c>
      <c r="K11" s="349" t="s">
        <v>84</v>
      </c>
      <c r="L11" s="353" t="s">
        <v>95</v>
      </c>
      <c r="M11" s="353" t="s">
        <v>96</v>
      </c>
      <c r="N11" s="351"/>
      <c r="O11" s="351"/>
      <c r="P11" s="351"/>
      <c r="Q11" s="351"/>
      <c r="R11" s="351"/>
      <c r="S11" s="351"/>
      <c r="T11" s="351"/>
      <c r="U11" s="351"/>
      <c r="V11" s="351"/>
      <c r="W11" s="351"/>
      <c r="X11" s="351"/>
      <c r="Y11" s="351"/>
      <c r="Z11" s="351"/>
      <c r="AA11" s="351"/>
      <c r="AB11" s="351"/>
      <c r="AC11" s="351"/>
      <c r="AD11" s="351"/>
      <c r="AE11" s="351"/>
      <c r="AF11" s="351"/>
    </row>
    <row r="12">
      <c r="A12" s="345">
        <v>11.0</v>
      </c>
      <c r="B12" s="349" t="s">
        <v>97</v>
      </c>
      <c r="C12" s="347" t="s">
        <v>1261</v>
      </c>
      <c r="D12" s="347" t="s">
        <v>1262</v>
      </c>
      <c r="E12" s="348"/>
      <c r="F12" s="348"/>
      <c r="G12" s="348"/>
      <c r="H12" s="348">
        <v>2.036278473E9</v>
      </c>
      <c r="I12" s="349" t="s">
        <v>99</v>
      </c>
      <c r="J12" s="349"/>
      <c r="K12" s="349" t="s">
        <v>100</v>
      </c>
      <c r="L12" s="353"/>
      <c r="M12" s="362"/>
      <c r="N12" s="351"/>
      <c r="O12" s="351"/>
      <c r="P12" s="351"/>
      <c r="Q12" s="351"/>
      <c r="R12" s="351"/>
      <c r="S12" s="351"/>
      <c r="T12" s="351"/>
      <c r="U12" s="351"/>
      <c r="V12" s="351"/>
      <c r="W12" s="351"/>
      <c r="X12" s="351"/>
      <c r="Y12" s="351"/>
      <c r="Z12" s="351"/>
      <c r="AA12" s="351"/>
      <c r="AB12" s="351"/>
      <c r="AC12" s="351"/>
      <c r="AD12" s="351"/>
      <c r="AE12" s="351"/>
      <c r="AF12" s="351"/>
    </row>
    <row r="13">
      <c r="A13" s="352">
        <v>12.0</v>
      </c>
      <c r="B13" s="364" t="s">
        <v>101</v>
      </c>
      <c r="C13" s="357" t="s">
        <v>1263</v>
      </c>
      <c r="D13" s="357" t="s">
        <v>1264</v>
      </c>
      <c r="E13" s="359"/>
      <c r="F13" s="359"/>
      <c r="G13" s="359"/>
      <c r="H13" s="359">
        <v>6.179092103E9</v>
      </c>
      <c r="I13" s="349" t="s">
        <v>103</v>
      </c>
      <c r="J13" s="360" t="s">
        <v>104</v>
      </c>
      <c r="K13" s="360" t="s">
        <v>105</v>
      </c>
      <c r="L13" s="353" t="s">
        <v>85</v>
      </c>
      <c r="M13" s="353" t="s">
        <v>106</v>
      </c>
      <c r="N13" s="351"/>
      <c r="O13" s="351"/>
      <c r="P13" s="351"/>
      <c r="Q13" s="351"/>
      <c r="R13" s="351"/>
      <c r="S13" s="351"/>
      <c r="T13" s="351"/>
      <c r="U13" s="351"/>
      <c r="V13" s="351"/>
      <c r="W13" s="351"/>
      <c r="X13" s="351"/>
      <c r="Y13" s="351"/>
      <c r="Z13" s="351"/>
      <c r="AA13" s="351"/>
      <c r="AB13" s="351"/>
      <c r="AC13" s="351"/>
      <c r="AD13" s="351"/>
      <c r="AE13" s="351"/>
      <c r="AF13" s="351"/>
    </row>
    <row r="14">
      <c r="A14" s="345">
        <v>13.0</v>
      </c>
      <c r="B14" s="354" t="s">
        <v>107</v>
      </c>
      <c r="C14" s="347" t="s">
        <v>1265</v>
      </c>
      <c r="D14" s="347"/>
      <c r="E14" s="348"/>
      <c r="F14" s="348"/>
      <c r="G14" s="348"/>
      <c r="H14" s="348">
        <v>6.464944658E9</v>
      </c>
      <c r="I14" s="349" t="s">
        <v>479</v>
      </c>
      <c r="J14" s="365"/>
      <c r="K14" s="349" t="s">
        <v>109</v>
      </c>
      <c r="L14" s="362"/>
      <c r="M14" s="353" t="s">
        <v>110</v>
      </c>
      <c r="N14" s="351"/>
      <c r="O14" s="351"/>
      <c r="P14" s="351"/>
      <c r="Q14" s="351"/>
      <c r="R14" s="351"/>
      <c r="S14" s="351"/>
      <c r="T14" s="351"/>
      <c r="U14" s="351"/>
      <c r="V14" s="351"/>
      <c r="W14" s="351"/>
      <c r="X14" s="351"/>
      <c r="Y14" s="351"/>
      <c r="Z14" s="351"/>
      <c r="AA14" s="351"/>
      <c r="AB14" s="351"/>
      <c r="AC14" s="351"/>
      <c r="AD14" s="351"/>
      <c r="AE14" s="351"/>
      <c r="AF14" s="351"/>
    </row>
    <row r="15">
      <c r="A15" s="352">
        <v>14.0</v>
      </c>
      <c r="B15" s="346" t="s">
        <v>111</v>
      </c>
      <c r="C15" s="347" t="s">
        <v>1266</v>
      </c>
      <c r="D15" s="347" t="s">
        <v>1267</v>
      </c>
      <c r="E15" s="348"/>
      <c r="F15" s="348"/>
      <c r="G15" s="348"/>
      <c r="H15" s="348">
        <v>6.464180875E9</v>
      </c>
      <c r="I15" s="349" t="s">
        <v>112</v>
      </c>
      <c r="J15" s="349" t="s">
        <v>76</v>
      </c>
      <c r="K15" s="349" t="s">
        <v>77</v>
      </c>
      <c r="L15" s="362"/>
      <c r="M15" s="362"/>
      <c r="N15" s="351"/>
      <c r="O15" s="351"/>
      <c r="P15" s="351"/>
      <c r="Q15" s="351"/>
      <c r="R15" s="351"/>
      <c r="S15" s="351"/>
      <c r="T15" s="351"/>
      <c r="U15" s="351"/>
      <c r="V15" s="351"/>
      <c r="W15" s="351"/>
      <c r="X15" s="351"/>
      <c r="Y15" s="351"/>
      <c r="Z15" s="351"/>
      <c r="AA15" s="351"/>
      <c r="AB15" s="351"/>
      <c r="AC15" s="351"/>
      <c r="AD15" s="351"/>
      <c r="AE15" s="351"/>
      <c r="AF15" s="351"/>
    </row>
    <row r="16">
      <c r="A16" s="345">
        <v>15.0</v>
      </c>
      <c r="B16" s="349" t="s">
        <v>113</v>
      </c>
      <c r="C16" s="347" t="s">
        <v>1268</v>
      </c>
      <c r="D16" s="347"/>
      <c r="E16" s="348"/>
      <c r="F16" s="348"/>
      <c r="G16" s="348"/>
      <c r="H16" s="348">
        <v>4.692229328E9</v>
      </c>
      <c r="I16" s="349" t="s">
        <v>114</v>
      </c>
      <c r="J16" s="349" t="s">
        <v>115</v>
      </c>
      <c r="K16" s="349" t="s">
        <v>63</v>
      </c>
      <c r="L16" s="362"/>
      <c r="M16" s="362"/>
      <c r="N16" s="351"/>
      <c r="O16" s="351"/>
      <c r="P16" s="351"/>
      <c r="Q16" s="351"/>
      <c r="R16" s="351"/>
      <c r="S16" s="351"/>
      <c r="T16" s="351"/>
      <c r="U16" s="351"/>
      <c r="V16" s="351"/>
      <c r="W16" s="351"/>
      <c r="X16" s="351"/>
      <c r="Y16" s="351"/>
      <c r="Z16" s="351"/>
      <c r="AA16" s="351"/>
      <c r="AB16" s="351"/>
      <c r="AC16" s="351"/>
      <c r="AD16" s="351"/>
      <c r="AE16" s="351"/>
      <c r="AF16" s="351"/>
    </row>
    <row r="17">
      <c r="A17" s="352">
        <v>16.0</v>
      </c>
      <c r="B17" s="349" t="s">
        <v>116</v>
      </c>
      <c r="C17" s="347" t="s">
        <v>1269</v>
      </c>
      <c r="D17" s="347" t="s">
        <v>1270</v>
      </c>
      <c r="E17" s="348"/>
      <c r="F17" s="348"/>
      <c r="G17" s="348"/>
      <c r="H17" s="348">
        <v>8.47714304E9</v>
      </c>
      <c r="I17" s="349" t="s">
        <v>117</v>
      </c>
      <c r="J17" s="349" t="s">
        <v>118</v>
      </c>
      <c r="K17" s="349" t="s">
        <v>48</v>
      </c>
      <c r="L17" s="353" t="s">
        <v>119</v>
      </c>
      <c r="M17" s="353" t="s">
        <v>120</v>
      </c>
    </row>
    <row r="18">
      <c r="A18" s="345">
        <v>17.0</v>
      </c>
      <c r="B18" s="354" t="s">
        <v>121</v>
      </c>
      <c r="C18" s="347" t="s">
        <v>1271</v>
      </c>
      <c r="D18" s="347"/>
      <c r="E18" s="348"/>
      <c r="F18" s="348"/>
      <c r="G18" s="348"/>
      <c r="H18" s="348">
        <v>6.785965293E9</v>
      </c>
      <c r="I18" s="349" t="s">
        <v>122</v>
      </c>
      <c r="J18" s="349" t="s">
        <v>123</v>
      </c>
      <c r="K18" s="349" t="s">
        <v>124</v>
      </c>
      <c r="L18" s="350" t="s">
        <v>125</v>
      </c>
      <c r="M18" s="350" t="s">
        <v>126</v>
      </c>
      <c r="N18" s="351"/>
      <c r="O18" s="351"/>
      <c r="P18" s="351"/>
      <c r="Q18" s="351"/>
      <c r="R18" s="351"/>
      <c r="S18" s="351"/>
      <c r="T18" s="351"/>
      <c r="U18" s="351"/>
      <c r="V18" s="351"/>
      <c r="W18" s="351"/>
      <c r="X18" s="351"/>
      <c r="Y18" s="351"/>
      <c r="Z18" s="351"/>
      <c r="AA18" s="351"/>
      <c r="AB18" s="351"/>
      <c r="AC18" s="351"/>
      <c r="AD18" s="351"/>
      <c r="AE18" s="351"/>
      <c r="AF18" s="351"/>
    </row>
    <row r="19">
      <c r="A19" s="352">
        <v>18.0</v>
      </c>
      <c r="B19" s="363" t="s">
        <v>127</v>
      </c>
      <c r="C19" s="347" t="s">
        <v>1272</v>
      </c>
      <c r="D19" s="347" t="s">
        <v>1273</v>
      </c>
      <c r="E19" s="348"/>
      <c r="F19" s="348"/>
      <c r="G19" s="348"/>
      <c r="H19" s="348">
        <v>9.143291484E9</v>
      </c>
      <c r="I19" s="349" t="s">
        <v>128</v>
      </c>
      <c r="J19" s="349" t="s">
        <v>129</v>
      </c>
      <c r="K19" s="349" t="s">
        <v>40</v>
      </c>
      <c r="L19" s="350" t="s">
        <v>130</v>
      </c>
      <c r="M19" s="355" t="s">
        <v>131</v>
      </c>
      <c r="N19" s="351"/>
      <c r="O19" s="351"/>
      <c r="P19" s="351"/>
      <c r="Q19" s="351"/>
      <c r="R19" s="351"/>
      <c r="S19" s="351"/>
      <c r="T19" s="351"/>
      <c r="U19" s="351"/>
      <c r="V19" s="351"/>
      <c r="W19" s="351"/>
      <c r="X19" s="351"/>
      <c r="Y19" s="351"/>
      <c r="Z19" s="351"/>
      <c r="AA19" s="351"/>
      <c r="AB19" s="351"/>
      <c r="AC19" s="351"/>
      <c r="AD19" s="351"/>
      <c r="AE19" s="351"/>
      <c r="AF19" s="351"/>
    </row>
    <row r="20">
      <c r="A20" s="345">
        <v>19.0</v>
      </c>
      <c r="B20" s="360" t="s">
        <v>132</v>
      </c>
      <c r="C20" s="357" t="s">
        <v>1274</v>
      </c>
      <c r="D20" s="366"/>
      <c r="E20" s="359"/>
      <c r="F20" s="359"/>
      <c r="G20" s="359"/>
      <c r="H20" s="359">
        <v>4.04935276E9</v>
      </c>
      <c r="I20" s="349" t="s">
        <v>133</v>
      </c>
      <c r="J20" s="349" t="s">
        <v>134</v>
      </c>
      <c r="K20" s="349" t="s">
        <v>124</v>
      </c>
      <c r="L20" s="353" t="s">
        <v>135</v>
      </c>
      <c r="M20" s="353" t="s">
        <v>136</v>
      </c>
      <c r="N20" s="351"/>
      <c r="O20" s="351"/>
      <c r="P20" s="351"/>
      <c r="Q20" s="351"/>
      <c r="R20" s="351"/>
      <c r="S20" s="351"/>
      <c r="T20" s="351"/>
      <c r="U20" s="351"/>
      <c r="V20" s="351"/>
      <c r="W20" s="351"/>
      <c r="X20" s="351"/>
      <c r="Y20" s="351"/>
      <c r="Z20" s="351"/>
      <c r="AA20" s="351"/>
      <c r="AB20" s="351"/>
      <c r="AC20" s="351"/>
      <c r="AD20" s="351"/>
      <c r="AE20" s="351"/>
      <c r="AF20" s="351"/>
    </row>
    <row r="21">
      <c r="A21" s="352">
        <v>20.0</v>
      </c>
      <c r="B21" s="349" t="s">
        <v>137</v>
      </c>
      <c r="C21" s="347" t="s">
        <v>1275</v>
      </c>
      <c r="D21" s="347"/>
      <c r="E21" s="348"/>
      <c r="F21" s="348"/>
      <c r="G21" s="348"/>
      <c r="H21" s="348">
        <v>6.149156173E9</v>
      </c>
      <c r="I21" s="349" t="s">
        <v>138</v>
      </c>
      <c r="J21" s="349" t="s">
        <v>139</v>
      </c>
      <c r="K21" s="349" t="s">
        <v>109</v>
      </c>
      <c r="L21" s="350" t="s">
        <v>140</v>
      </c>
      <c r="M21" s="355" t="s">
        <v>141</v>
      </c>
      <c r="N21" s="351"/>
      <c r="O21" s="351"/>
      <c r="P21" s="351"/>
      <c r="Q21" s="351"/>
      <c r="R21" s="351"/>
      <c r="S21" s="351"/>
      <c r="T21" s="351"/>
      <c r="U21" s="351"/>
      <c r="V21" s="351"/>
      <c r="W21" s="351"/>
      <c r="X21" s="351"/>
      <c r="Y21" s="351"/>
      <c r="Z21" s="351"/>
      <c r="AA21" s="351"/>
      <c r="AB21" s="351"/>
      <c r="AC21" s="351"/>
      <c r="AD21" s="351"/>
      <c r="AE21" s="351"/>
      <c r="AF21" s="351"/>
    </row>
    <row r="22">
      <c r="A22" s="345">
        <v>21.0</v>
      </c>
      <c r="B22" s="354" t="s">
        <v>142</v>
      </c>
      <c r="C22" s="347" t="s">
        <v>1276</v>
      </c>
      <c r="D22" s="347"/>
      <c r="E22" s="348"/>
      <c r="F22" s="348"/>
      <c r="G22" s="348"/>
      <c r="H22" s="348">
        <v>2.142230055E9</v>
      </c>
      <c r="I22" s="349" t="s">
        <v>145</v>
      </c>
      <c r="J22" s="349" t="s">
        <v>62</v>
      </c>
      <c r="K22" s="349" t="s">
        <v>63</v>
      </c>
      <c r="L22" s="353" t="s">
        <v>146</v>
      </c>
      <c r="M22" s="353" t="s">
        <v>547</v>
      </c>
      <c r="N22" s="351"/>
      <c r="O22" s="351"/>
      <c r="P22" s="351"/>
      <c r="Q22" s="351"/>
      <c r="R22" s="351"/>
      <c r="S22" s="351"/>
      <c r="T22" s="351"/>
      <c r="U22" s="351"/>
      <c r="V22" s="351"/>
      <c r="W22" s="351"/>
      <c r="X22" s="351"/>
      <c r="Y22" s="351"/>
      <c r="Z22" s="351"/>
      <c r="AA22" s="351"/>
      <c r="AB22" s="351"/>
      <c r="AC22" s="351"/>
      <c r="AD22" s="351"/>
      <c r="AE22" s="351"/>
      <c r="AF22" s="351"/>
    </row>
    <row r="23">
      <c r="A23" s="352">
        <v>22.0</v>
      </c>
      <c r="B23" s="349" t="s">
        <v>148</v>
      </c>
      <c r="C23" s="347" t="s">
        <v>1277</v>
      </c>
      <c r="D23" s="347"/>
      <c r="E23" s="348"/>
      <c r="F23" s="348"/>
      <c r="G23" s="348"/>
      <c r="H23" s="348">
        <v>9.738652446E9</v>
      </c>
      <c r="I23" s="349" t="s">
        <v>149</v>
      </c>
      <c r="J23" s="349" t="s">
        <v>150</v>
      </c>
      <c r="K23" s="349" t="s">
        <v>56</v>
      </c>
      <c r="L23" s="353" t="s">
        <v>151</v>
      </c>
      <c r="M23" s="353" t="s">
        <v>152</v>
      </c>
      <c r="N23" s="351"/>
      <c r="O23" s="351"/>
      <c r="P23" s="351"/>
      <c r="Q23" s="351"/>
      <c r="R23" s="351"/>
      <c r="S23" s="351"/>
      <c r="T23" s="351"/>
      <c r="U23" s="351"/>
      <c r="V23" s="351"/>
      <c r="W23" s="351"/>
      <c r="X23" s="351"/>
      <c r="Y23" s="351"/>
      <c r="Z23" s="351"/>
      <c r="AA23" s="351"/>
      <c r="AB23" s="351"/>
      <c r="AC23" s="351"/>
      <c r="AD23" s="351"/>
      <c r="AE23" s="351"/>
      <c r="AF23" s="351"/>
    </row>
    <row r="24">
      <c r="A24" s="345">
        <v>23.0</v>
      </c>
      <c r="B24" s="349" t="s">
        <v>153</v>
      </c>
      <c r="C24" s="347" t="s">
        <v>1278</v>
      </c>
      <c r="D24" s="347"/>
      <c r="E24" s="348"/>
      <c r="F24" s="348"/>
      <c r="G24" s="348"/>
      <c r="H24" s="348">
        <v>2.01532475E9</v>
      </c>
      <c r="I24" s="349" t="s">
        <v>154</v>
      </c>
      <c r="J24" s="349" t="s">
        <v>150</v>
      </c>
      <c r="K24" s="349" t="s">
        <v>56</v>
      </c>
      <c r="L24" s="362"/>
      <c r="M24" s="362"/>
      <c r="N24" s="351"/>
      <c r="O24" s="351"/>
      <c r="P24" s="351"/>
      <c r="Q24" s="351"/>
      <c r="R24" s="351"/>
      <c r="S24" s="351"/>
      <c r="T24" s="351"/>
      <c r="U24" s="351"/>
      <c r="V24" s="351"/>
      <c r="W24" s="351"/>
      <c r="X24" s="351"/>
      <c r="Y24" s="351"/>
      <c r="Z24" s="351"/>
      <c r="AA24" s="351"/>
      <c r="AB24" s="351"/>
      <c r="AC24" s="351"/>
      <c r="AD24" s="351"/>
      <c r="AE24" s="351"/>
      <c r="AF24" s="351"/>
    </row>
    <row r="25">
      <c r="A25" s="352">
        <v>24.0</v>
      </c>
      <c r="B25" s="349" t="s">
        <v>1279</v>
      </c>
      <c r="C25" s="347"/>
      <c r="D25" s="347"/>
      <c r="E25" s="348"/>
      <c r="F25" s="348"/>
      <c r="G25" s="348"/>
      <c r="H25" s="348"/>
      <c r="I25" s="349"/>
      <c r="J25" s="349"/>
      <c r="K25" s="349"/>
      <c r="L25" s="362"/>
      <c r="M25" s="362"/>
      <c r="N25" s="351"/>
      <c r="O25" s="351"/>
      <c r="P25" s="351"/>
      <c r="Q25" s="351"/>
      <c r="R25" s="351"/>
      <c r="S25" s="351"/>
      <c r="T25" s="351"/>
      <c r="U25" s="351"/>
      <c r="V25" s="351"/>
      <c r="W25" s="351"/>
      <c r="X25" s="351"/>
      <c r="Y25" s="351"/>
      <c r="Z25" s="351"/>
      <c r="AA25" s="351"/>
      <c r="AB25" s="351"/>
      <c r="AC25" s="351"/>
      <c r="AD25" s="351"/>
      <c r="AE25" s="351"/>
      <c r="AF25" s="351"/>
    </row>
    <row r="26">
      <c r="A26" s="345">
        <v>25.0</v>
      </c>
      <c r="B26" s="360" t="s">
        <v>157</v>
      </c>
      <c r="C26" s="357" t="s">
        <v>1280</v>
      </c>
      <c r="D26" s="366"/>
      <c r="E26" s="359"/>
      <c r="F26" s="359"/>
      <c r="G26" s="359"/>
      <c r="H26" s="359">
        <v>7.032829087E9</v>
      </c>
      <c r="I26" s="349" t="s">
        <v>158</v>
      </c>
      <c r="J26" s="360" t="s">
        <v>159</v>
      </c>
      <c r="K26" s="360" t="s">
        <v>84</v>
      </c>
      <c r="L26" s="362"/>
      <c r="M26" s="353" t="s">
        <v>160</v>
      </c>
      <c r="N26" s="351"/>
      <c r="O26" s="351"/>
      <c r="P26" s="351"/>
      <c r="Q26" s="351"/>
      <c r="R26" s="351"/>
      <c r="S26" s="351"/>
      <c r="T26" s="351"/>
      <c r="U26" s="351"/>
      <c r="V26" s="351"/>
      <c r="W26" s="351"/>
      <c r="X26" s="351"/>
      <c r="Y26" s="351"/>
      <c r="Z26" s="351"/>
      <c r="AA26" s="351"/>
      <c r="AB26" s="351"/>
      <c r="AC26" s="351"/>
      <c r="AD26" s="351"/>
      <c r="AE26" s="351"/>
      <c r="AF26" s="351"/>
    </row>
    <row r="27">
      <c r="A27" s="352">
        <v>26.0</v>
      </c>
      <c r="B27" s="354" t="s">
        <v>161</v>
      </c>
      <c r="C27" s="347" t="s">
        <v>1281</v>
      </c>
      <c r="D27" s="347"/>
      <c r="E27" s="348"/>
      <c r="F27" s="348"/>
      <c r="G27" s="348"/>
      <c r="H27" s="348">
        <v>4.04357093E9</v>
      </c>
      <c r="I27" s="349" t="s">
        <v>163</v>
      </c>
      <c r="J27" s="349" t="s">
        <v>83</v>
      </c>
      <c r="K27" s="349" t="s">
        <v>84</v>
      </c>
      <c r="L27" s="350" t="s">
        <v>164</v>
      </c>
      <c r="M27" s="350" t="s">
        <v>165</v>
      </c>
      <c r="N27" s="351"/>
      <c r="O27" s="351"/>
      <c r="P27" s="351"/>
      <c r="Q27" s="351"/>
      <c r="R27" s="351"/>
      <c r="S27" s="351"/>
      <c r="T27" s="351"/>
      <c r="U27" s="351"/>
      <c r="V27" s="351"/>
      <c r="W27" s="351"/>
      <c r="X27" s="351"/>
      <c r="Y27" s="351"/>
      <c r="Z27" s="351"/>
      <c r="AA27" s="351"/>
      <c r="AB27" s="351"/>
      <c r="AC27" s="351"/>
      <c r="AD27" s="351"/>
      <c r="AE27" s="351"/>
      <c r="AF27" s="351"/>
    </row>
    <row r="28">
      <c r="A28" s="345">
        <v>27.0</v>
      </c>
      <c r="B28" s="354" t="s">
        <v>166</v>
      </c>
      <c r="C28" s="347" t="s">
        <v>1282</v>
      </c>
      <c r="D28" s="347"/>
      <c r="E28" s="348"/>
      <c r="F28" s="348"/>
      <c r="G28" s="348"/>
      <c r="H28" s="348">
        <v>4.0422921E9</v>
      </c>
      <c r="I28" s="349" t="s">
        <v>167</v>
      </c>
      <c r="J28" s="349" t="s">
        <v>168</v>
      </c>
      <c r="K28" s="349" t="s">
        <v>124</v>
      </c>
      <c r="L28" s="353" t="s">
        <v>169</v>
      </c>
      <c r="M28" s="353" t="s">
        <v>517</v>
      </c>
      <c r="N28" s="351"/>
      <c r="O28" s="351"/>
      <c r="P28" s="351"/>
      <c r="Q28" s="351"/>
      <c r="R28" s="351"/>
      <c r="S28" s="351"/>
      <c r="T28" s="351"/>
      <c r="U28" s="351"/>
      <c r="V28" s="351"/>
      <c r="W28" s="351"/>
      <c r="X28" s="351"/>
      <c r="Y28" s="351"/>
      <c r="Z28" s="351"/>
      <c r="AA28" s="351"/>
      <c r="AB28" s="351"/>
      <c r="AC28" s="351"/>
      <c r="AD28" s="351"/>
      <c r="AE28" s="351"/>
      <c r="AF28" s="351"/>
    </row>
    <row r="29">
      <c r="A29" s="352">
        <v>28.0</v>
      </c>
      <c r="B29" s="354" t="s">
        <v>171</v>
      </c>
      <c r="C29" s="347" t="s">
        <v>1283</v>
      </c>
      <c r="D29" s="347"/>
      <c r="E29" s="348"/>
      <c r="F29" s="348"/>
      <c r="G29" s="348"/>
      <c r="H29" s="348">
        <v>6.143710704E9</v>
      </c>
      <c r="I29" s="349" t="s">
        <v>488</v>
      </c>
      <c r="J29" s="349" t="s">
        <v>47</v>
      </c>
      <c r="K29" s="349" t="s">
        <v>48</v>
      </c>
      <c r="L29" s="350" t="s">
        <v>489</v>
      </c>
      <c r="M29" s="350" t="s">
        <v>490</v>
      </c>
      <c r="N29" s="351"/>
      <c r="O29" s="351"/>
      <c r="P29" s="351"/>
      <c r="Q29" s="351"/>
      <c r="R29" s="351"/>
      <c r="S29" s="351"/>
      <c r="T29" s="351"/>
      <c r="U29" s="351"/>
      <c r="V29" s="351"/>
      <c r="W29" s="351"/>
      <c r="X29" s="351"/>
      <c r="Y29" s="351"/>
      <c r="Z29" s="351"/>
      <c r="AA29" s="351"/>
      <c r="AB29" s="351"/>
      <c r="AC29" s="351"/>
      <c r="AD29" s="351"/>
      <c r="AE29" s="351"/>
      <c r="AF29" s="351"/>
    </row>
    <row r="30">
      <c r="A30" s="345">
        <v>29.0</v>
      </c>
      <c r="B30" s="346" t="s">
        <v>446</v>
      </c>
      <c r="C30" s="347" t="s">
        <v>1284</v>
      </c>
      <c r="D30" s="347" t="s">
        <v>1285</v>
      </c>
      <c r="E30" s="348"/>
      <c r="F30" s="348"/>
      <c r="G30" s="348"/>
      <c r="H30" s="348">
        <v>8.185162885E9</v>
      </c>
      <c r="I30" s="349" t="s">
        <v>483</v>
      </c>
      <c r="J30" s="349" t="s">
        <v>484</v>
      </c>
      <c r="K30" s="349" t="s">
        <v>194</v>
      </c>
      <c r="L30" s="350" t="s">
        <v>485</v>
      </c>
      <c r="M30" s="355" t="s">
        <v>486</v>
      </c>
      <c r="N30" s="351"/>
      <c r="O30" s="351"/>
      <c r="P30" s="351"/>
      <c r="Q30" s="351"/>
      <c r="R30" s="351"/>
      <c r="S30" s="351"/>
      <c r="T30" s="351"/>
      <c r="U30" s="351"/>
      <c r="V30" s="351"/>
      <c r="W30" s="351"/>
      <c r="X30" s="351"/>
      <c r="Y30" s="351"/>
      <c r="Z30" s="351"/>
      <c r="AA30" s="351"/>
      <c r="AB30" s="351"/>
      <c r="AC30" s="351"/>
      <c r="AD30" s="351"/>
      <c r="AE30" s="351"/>
      <c r="AF30" s="351"/>
    </row>
    <row r="31">
      <c r="A31" s="352">
        <v>30.0</v>
      </c>
      <c r="B31" s="349" t="s">
        <v>177</v>
      </c>
      <c r="C31" s="347" t="s">
        <v>1286</v>
      </c>
      <c r="D31" s="347"/>
      <c r="E31" s="348"/>
      <c r="F31" s="348"/>
      <c r="G31" s="348"/>
      <c r="H31" s="348">
        <v>2.036272737E9</v>
      </c>
      <c r="I31" s="349" t="s">
        <v>178</v>
      </c>
      <c r="J31" s="349" t="s">
        <v>179</v>
      </c>
      <c r="K31" s="349" t="s">
        <v>100</v>
      </c>
      <c r="L31" s="362"/>
      <c r="M31" s="362"/>
    </row>
    <row r="32">
      <c r="A32" s="345">
        <v>31.0</v>
      </c>
      <c r="B32" s="354" t="s">
        <v>180</v>
      </c>
      <c r="C32" s="347" t="s">
        <v>1287</v>
      </c>
      <c r="D32" s="347"/>
      <c r="E32" s="348"/>
      <c r="F32" s="348"/>
      <c r="G32" s="348"/>
      <c r="H32" s="348">
        <v>8.044189075E9</v>
      </c>
      <c r="I32" s="349" t="s">
        <v>181</v>
      </c>
      <c r="J32" s="349" t="s">
        <v>83</v>
      </c>
      <c r="K32" s="349" t="s">
        <v>84</v>
      </c>
      <c r="L32" s="350" t="s">
        <v>182</v>
      </c>
      <c r="M32" s="355" t="s">
        <v>183</v>
      </c>
      <c r="N32" s="351"/>
      <c r="O32" s="351"/>
      <c r="P32" s="351"/>
      <c r="Q32" s="351"/>
      <c r="R32" s="351"/>
      <c r="S32" s="351"/>
      <c r="T32" s="351"/>
      <c r="U32" s="351"/>
      <c r="V32" s="351"/>
      <c r="W32" s="351"/>
      <c r="X32" s="351"/>
      <c r="Y32" s="351"/>
      <c r="Z32" s="351"/>
      <c r="AA32" s="351"/>
      <c r="AB32" s="351"/>
      <c r="AC32" s="351"/>
      <c r="AD32" s="351"/>
      <c r="AE32" s="351"/>
      <c r="AF32" s="351"/>
    </row>
    <row r="33">
      <c r="A33" s="352">
        <v>32.0</v>
      </c>
      <c r="B33" s="349" t="s">
        <v>184</v>
      </c>
      <c r="C33" s="347" t="s">
        <v>1288</v>
      </c>
      <c r="D33" s="347" t="s">
        <v>1289</v>
      </c>
      <c r="E33" s="348"/>
      <c r="F33" s="348"/>
      <c r="G33" s="348"/>
      <c r="H33" s="348">
        <v>6.145704014E9</v>
      </c>
      <c r="I33" s="349" t="s">
        <v>186</v>
      </c>
      <c r="J33" s="349" t="s">
        <v>139</v>
      </c>
      <c r="K33" s="349" t="s">
        <v>109</v>
      </c>
      <c r="L33" s="353" t="s">
        <v>187</v>
      </c>
      <c r="M33" s="362"/>
      <c r="N33" s="351"/>
      <c r="O33" s="351"/>
      <c r="P33" s="351"/>
      <c r="Q33" s="351"/>
      <c r="R33" s="351"/>
      <c r="S33" s="351"/>
      <c r="T33" s="351"/>
      <c r="U33" s="351"/>
      <c r="V33" s="351"/>
      <c r="W33" s="351"/>
      <c r="X33" s="351"/>
      <c r="Y33" s="351"/>
      <c r="Z33" s="351"/>
      <c r="AA33" s="351"/>
      <c r="AB33" s="351"/>
      <c r="AC33" s="351"/>
      <c r="AD33" s="351"/>
      <c r="AE33" s="351"/>
      <c r="AF33" s="351"/>
    </row>
    <row r="34">
      <c r="A34" s="345">
        <v>33.0</v>
      </c>
      <c r="B34" s="349" t="s">
        <v>188</v>
      </c>
      <c r="C34" s="347"/>
      <c r="D34" s="347"/>
      <c r="E34" s="348"/>
      <c r="F34" s="348"/>
      <c r="G34" s="348"/>
      <c r="H34" s="348">
        <v>1.6143780159E10</v>
      </c>
      <c r="I34" s="349" t="s">
        <v>189</v>
      </c>
      <c r="J34" s="349" t="s">
        <v>190</v>
      </c>
      <c r="K34" s="349" t="s">
        <v>40</v>
      </c>
      <c r="L34" s="362"/>
      <c r="M34" s="362"/>
      <c r="N34" s="351"/>
      <c r="O34" s="351"/>
      <c r="P34" s="351"/>
      <c r="Q34" s="351"/>
      <c r="R34" s="351"/>
      <c r="S34" s="351"/>
      <c r="T34" s="351"/>
      <c r="U34" s="351"/>
      <c r="V34" s="351"/>
      <c r="W34" s="351"/>
      <c r="X34" s="351"/>
      <c r="Y34" s="351"/>
      <c r="Z34" s="351"/>
      <c r="AA34" s="351"/>
      <c r="AB34" s="351"/>
      <c r="AC34" s="351"/>
      <c r="AD34" s="351"/>
      <c r="AE34" s="351"/>
      <c r="AF34" s="351"/>
    </row>
    <row r="35">
      <c r="A35" s="352">
        <v>34.0</v>
      </c>
      <c r="B35" s="349" t="s">
        <v>191</v>
      </c>
      <c r="C35" s="347"/>
      <c r="D35" s="347"/>
      <c r="E35" s="348"/>
      <c r="F35" s="348"/>
      <c r="G35" s="348"/>
      <c r="H35" s="348">
        <v>1.6149756103E10</v>
      </c>
      <c r="I35" s="349" t="s">
        <v>350</v>
      </c>
      <c r="J35" s="349" t="s">
        <v>190</v>
      </c>
      <c r="K35" s="349" t="s">
        <v>40</v>
      </c>
      <c r="L35" s="362"/>
      <c r="M35" s="362"/>
      <c r="N35" s="351"/>
      <c r="O35" s="351"/>
      <c r="P35" s="351"/>
      <c r="Q35" s="351"/>
      <c r="R35" s="351"/>
      <c r="S35" s="351"/>
      <c r="T35" s="351"/>
      <c r="U35" s="351"/>
      <c r="V35" s="351"/>
      <c r="W35" s="351"/>
      <c r="X35" s="351"/>
      <c r="Y35" s="351"/>
      <c r="Z35" s="351"/>
      <c r="AA35" s="351"/>
      <c r="AB35" s="351"/>
      <c r="AC35" s="351"/>
      <c r="AD35" s="351"/>
      <c r="AE35" s="351"/>
      <c r="AF35" s="351"/>
    </row>
    <row r="36">
      <c r="A36" s="345">
        <v>35.0</v>
      </c>
      <c r="B36" s="346" t="s">
        <v>195</v>
      </c>
      <c r="C36" s="347" t="s">
        <v>1290</v>
      </c>
      <c r="D36" s="347" t="s">
        <v>1291</v>
      </c>
      <c r="E36" s="348"/>
      <c r="F36" s="348"/>
      <c r="G36" s="348"/>
      <c r="H36" s="348">
        <v>2.062955888E9</v>
      </c>
      <c r="I36" s="349" t="s">
        <v>196</v>
      </c>
      <c r="J36" s="349" t="s">
        <v>197</v>
      </c>
      <c r="K36" s="349" t="s">
        <v>198</v>
      </c>
      <c r="L36" s="355" t="s">
        <v>199</v>
      </c>
      <c r="M36" s="350" t="s">
        <v>200</v>
      </c>
      <c r="N36" s="351"/>
      <c r="O36" s="351"/>
      <c r="P36" s="351"/>
      <c r="Q36" s="351"/>
      <c r="R36" s="351"/>
      <c r="S36" s="351"/>
      <c r="T36" s="351"/>
      <c r="U36" s="351"/>
      <c r="V36" s="351"/>
      <c r="W36" s="351"/>
      <c r="X36" s="351"/>
      <c r="Y36" s="351"/>
      <c r="Z36" s="351"/>
      <c r="AA36" s="351"/>
      <c r="AB36" s="351"/>
      <c r="AC36" s="351"/>
      <c r="AD36" s="351"/>
      <c r="AE36" s="351"/>
      <c r="AF36" s="351"/>
    </row>
    <row r="37">
      <c r="A37" s="352">
        <v>36.0</v>
      </c>
      <c r="B37" s="354" t="s">
        <v>201</v>
      </c>
      <c r="C37" s="347" t="s">
        <v>1292</v>
      </c>
      <c r="D37" s="347"/>
      <c r="E37" s="348"/>
      <c r="F37" s="348"/>
      <c r="G37" s="348"/>
      <c r="H37" s="348">
        <v>8.609785063E9</v>
      </c>
      <c r="I37" s="349" t="s">
        <v>202</v>
      </c>
      <c r="J37" s="349" t="s">
        <v>203</v>
      </c>
      <c r="K37" s="349" t="s">
        <v>56</v>
      </c>
      <c r="L37" s="367" t="s">
        <v>204</v>
      </c>
      <c r="M37" s="367" t="s">
        <v>205</v>
      </c>
      <c r="N37" s="351"/>
      <c r="O37" s="351"/>
      <c r="P37" s="351"/>
      <c r="Q37" s="351"/>
      <c r="R37" s="351"/>
      <c r="S37" s="351"/>
      <c r="T37" s="351"/>
      <c r="U37" s="351"/>
      <c r="V37" s="351"/>
      <c r="W37" s="351"/>
      <c r="X37" s="351"/>
      <c r="Y37" s="351"/>
      <c r="Z37" s="351"/>
      <c r="AA37" s="351"/>
      <c r="AB37" s="351"/>
      <c r="AC37" s="351"/>
      <c r="AD37" s="351"/>
      <c r="AE37" s="351"/>
      <c r="AF37" s="351"/>
    </row>
    <row r="38">
      <c r="A38" s="345">
        <v>37.0</v>
      </c>
      <c r="B38" s="354" t="s">
        <v>206</v>
      </c>
      <c r="C38" s="347" t="s">
        <v>1293</v>
      </c>
      <c r="D38" s="347"/>
      <c r="E38" s="348"/>
      <c r="F38" s="348"/>
      <c r="G38" s="348"/>
      <c r="H38" s="348">
        <v>6.318918133E9</v>
      </c>
      <c r="I38" s="349" t="s">
        <v>207</v>
      </c>
      <c r="J38" s="349" t="s">
        <v>208</v>
      </c>
      <c r="K38" s="349" t="s">
        <v>77</v>
      </c>
      <c r="L38" s="350" t="s">
        <v>209</v>
      </c>
      <c r="M38" s="355" t="s">
        <v>480</v>
      </c>
    </row>
    <row r="39">
      <c r="A39" s="352">
        <v>38.0</v>
      </c>
      <c r="B39" s="349" t="s">
        <v>211</v>
      </c>
      <c r="C39" s="347" t="s">
        <v>214</v>
      </c>
      <c r="D39" s="347"/>
      <c r="E39" s="348"/>
      <c r="F39" s="348"/>
      <c r="G39" s="348"/>
      <c r="H39" s="348">
        <v>6.462065623E9</v>
      </c>
      <c r="I39" s="349" t="s">
        <v>212</v>
      </c>
      <c r="J39" s="349" t="s">
        <v>213</v>
      </c>
      <c r="K39" s="349" t="s">
        <v>40</v>
      </c>
      <c r="L39" s="353" t="s">
        <v>214</v>
      </c>
      <c r="M39" s="362"/>
      <c r="N39" s="351"/>
      <c r="O39" s="351"/>
      <c r="P39" s="351"/>
      <c r="Q39" s="351"/>
      <c r="R39" s="351"/>
      <c r="S39" s="351"/>
      <c r="T39" s="351"/>
      <c r="U39" s="351"/>
      <c r="V39" s="351"/>
      <c r="W39" s="351"/>
      <c r="X39" s="351"/>
      <c r="Y39" s="351"/>
      <c r="Z39" s="351"/>
      <c r="AA39" s="351"/>
      <c r="AB39" s="351"/>
      <c r="AC39" s="351"/>
      <c r="AD39" s="351"/>
      <c r="AE39" s="351"/>
      <c r="AF39" s="351"/>
    </row>
    <row r="40">
      <c r="A40" s="345">
        <v>39.0</v>
      </c>
      <c r="B40" s="360" t="s">
        <v>216</v>
      </c>
      <c r="C40" s="347" t="s">
        <v>1294</v>
      </c>
      <c r="D40" s="347"/>
      <c r="E40" s="348"/>
      <c r="F40" s="348"/>
      <c r="G40" s="348"/>
      <c r="H40" s="348">
        <v>2.027462046E9</v>
      </c>
      <c r="I40" s="360" t="s">
        <v>217</v>
      </c>
      <c r="J40" s="360" t="s">
        <v>218</v>
      </c>
      <c r="K40" s="364" t="s">
        <v>105</v>
      </c>
      <c r="L40" s="368" t="s">
        <v>219</v>
      </c>
      <c r="M40" s="369" t="s">
        <v>1295</v>
      </c>
      <c r="N40" s="351"/>
      <c r="O40" s="351"/>
      <c r="P40" s="351"/>
      <c r="Q40" s="351"/>
      <c r="R40" s="351"/>
      <c r="S40" s="351"/>
      <c r="T40" s="351"/>
      <c r="U40" s="351"/>
      <c r="V40" s="351"/>
      <c r="W40" s="351"/>
      <c r="X40" s="351"/>
      <c r="Y40" s="351"/>
      <c r="Z40" s="351"/>
      <c r="AA40" s="351"/>
      <c r="AB40" s="351"/>
      <c r="AC40" s="351"/>
      <c r="AD40" s="351"/>
      <c r="AE40" s="351"/>
      <c r="AF40" s="351"/>
    </row>
    <row r="41">
      <c r="A41" s="352">
        <v>40.0</v>
      </c>
      <c r="B41" s="349" t="s">
        <v>221</v>
      </c>
      <c r="C41" s="347"/>
      <c r="D41" s="347"/>
      <c r="E41" s="348"/>
      <c r="F41" s="348"/>
      <c r="G41" s="348"/>
      <c r="H41" s="348">
        <v>9.729227231E9</v>
      </c>
      <c r="I41" s="349" t="s">
        <v>222</v>
      </c>
      <c r="J41" s="349" t="s">
        <v>115</v>
      </c>
      <c r="K41" s="349" t="s">
        <v>63</v>
      </c>
      <c r="L41" s="362"/>
      <c r="M41" s="362"/>
      <c r="N41" s="351"/>
      <c r="O41" s="351"/>
      <c r="P41" s="351"/>
      <c r="Q41" s="351"/>
      <c r="R41" s="351"/>
      <c r="S41" s="351"/>
      <c r="T41" s="351"/>
      <c r="U41" s="351"/>
      <c r="V41" s="351"/>
      <c r="W41" s="351"/>
      <c r="X41" s="351"/>
      <c r="Y41" s="351"/>
      <c r="Z41" s="351"/>
      <c r="AA41" s="351"/>
      <c r="AB41" s="351"/>
      <c r="AC41" s="351"/>
      <c r="AD41" s="351"/>
      <c r="AE41" s="351"/>
      <c r="AF41" s="351"/>
    </row>
    <row r="42">
      <c r="A42" s="345">
        <v>41.0</v>
      </c>
      <c r="B42" s="349" t="s">
        <v>224</v>
      </c>
      <c r="C42" s="347" t="s">
        <v>1296</v>
      </c>
      <c r="D42" s="347"/>
      <c r="E42" s="348"/>
      <c r="F42" s="348"/>
      <c r="G42" s="348"/>
      <c r="H42" s="348">
        <v>6.142143954E9</v>
      </c>
      <c r="I42" s="349" t="s">
        <v>225</v>
      </c>
      <c r="J42" s="365"/>
      <c r="K42" s="349" t="s">
        <v>109</v>
      </c>
      <c r="L42" s="350"/>
      <c r="M42" s="350" t="s">
        <v>226</v>
      </c>
      <c r="N42" s="351"/>
      <c r="O42" s="351"/>
      <c r="P42" s="351"/>
      <c r="Q42" s="351"/>
      <c r="R42" s="351"/>
      <c r="S42" s="351"/>
      <c r="T42" s="351"/>
      <c r="U42" s="351"/>
      <c r="V42" s="351"/>
      <c r="W42" s="351"/>
      <c r="X42" s="351"/>
      <c r="Y42" s="351"/>
      <c r="Z42" s="351"/>
      <c r="AA42" s="351"/>
      <c r="AB42" s="351"/>
      <c r="AC42" s="351"/>
      <c r="AD42" s="351"/>
      <c r="AE42" s="351"/>
      <c r="AF42" s="351"/>
    </row>
    <row r="43">
      <c r="A43" s="352">
        <v>42.0</v>
      </c>
      <c r="B43" s="346" t="s">
        <v>450</v>
      </c>
      <c r="C43" s="347" t="s">
        <v>1297</v>
      </c>
      <c r="D43" s="347" t="s">
        <v>1298</v>
      </c>
      <c r="E43" s="348"/>
      <c r="F43" s="348"/>
      <c r="G43" s="348"/>
      <c r="H43" s="348">
        <v>3.47434922E9</v>
      </c>
      <c r="I43" s="349" t="s">
        <v>498</v>
      </c>
      <c r="J43" s="349" t="s">
        <v>499</v>
      </c>
      <c r="K43" s="349" t="s">
        <v>77</v>
      </c>
      <c r="L43" s="353" t="s">
        <v>500</v>
      </c>
      <c r="M43" s="353" t="s">
        <v>500</v>
      </c>
      <c r="N43" s="351"/>
      <c r="O43" s="351"/>
      <c r="P43" s="351"/>
      <c r="Q43" s="351"/>
      <c r="R43" s="351"/>
      <c r="S43" s="351"/>
      <c r="T43" s="351"/>
      <c r="U43" s="351"/>
      <c r="V43" s="351"/>
      <c r="W43" s="351"/>
      <c r="X43" s="351"/>
      <c r="Y43" s="351"/>
      <c r="Z43" s="351"/>
      <c r="AA43" s="351"/>
      <c r="AB43" s="351"/>
      <c r="AC43" s="351"/>
      <c r="AD43" s="351"/>
      <c r="AE43" s="351"/>
      <c r="AF43" s="351"/>
    </row>
    <row r="44">
      <c r="A44" s="345">
        <v>43.0</v>
      </c>
      <c r="B44" s="354" t="s">
        <v>227</v>
      </c>
      <c r="C44" s="347"/>
      <c r="D44" s="347"/>
      <c r="E44" s="348"/>
      <c r="F44" s="348"/>
      <c r="G44" s="348"/>
      <c r="H44" s="348">
        <v>2.144557121E9</v>
      </c>
      <c r="I44" s="349" t="s">
        <v>228</v>
      </c>
      <c r="J44" s="349" t="s">
        <v>62</v>
      </c>
      <c r="K44" s="349" t="s">
        <v>63</v>
      </c>
      <c r="L44" s="350" t="s">
        <v>229</v>
      </c>
      <c r="M44" s="350" t="s">
        <v>230</v>
      </c>
      <c r="N44" s="351"/>
      <c r="O44" s="351"/>
      <c r="P44" s="351"/>
      <c r="Q44" s="351"/>
      <c r="R44" s="351"/>
      <c r="S44" s="351"/>
      <c r="T44" s="351"/>
      <c r="U44" s="351"/>
      <c r="V44" s="351"/>
      <c r="W44" s="351"/>
      <c r="X44" s="351"/>
      <c r="Y44" s="351"/>
      <c r="Z44" s="351"/>
      <c r="AA44" s="351"/>
      <c r="AB44" s="351"/>
      <c r="AC44" s="351"/>
      <c r="AD44" s="351"/>
      <c r="AE44" s="351"/>
      <c r="AF44" s="351"/>
    </row>
    <row r="45">
      <c r="A45" s="352">
        <v>44.0</v>
      </c>
      <c r="B45" s="364" t="s">
        <v>448</v>
      </c>
      <c r="C45" s="347"/>
      <c r="D45" s="347"/>
      <c r="E45" s="348"/>
      <c r="F45" s="348"/>
      <c r="G45" s="348"/>
      <c r="H45" s="348">
        <v>8.473702878E9</v>
      </c>
      <c r="I45" s="360" t="s">
        <v>503</v>
      </c>
      <c r="J45" s="360" t="s">
        <v>504</v>
      </c>
      <c r="K45" s="364" t="s">
        <v>505</v>
      </c>
      <c r="L45" s="362"/>
      <c r="M45" s="362"/>
      <c r="N45" s="351"/>
      <c r="O45" s="351"/>
      <c r="P45" s="351"/>
      <c r="Q45" s="351"/>
      <c r="R45" s="351"/>
      <c r="S45" s="351"/>
      <c r="T45" s="351"/>
      <c r="U45" s="351"/>
      <c r="V45" s="351"/>
      <c r="W45" s="351"/>
      <c r="X45" s="351"/>
      <c r="Y45" s="351"/>
      <c r="Z45" s="351"/>
      <c r="AA45" s="351"/>
      <c r="AB45" s="351"/>
      <c r="AC45" s="351"/>
      <c r="AD45" s="351"/>
      <c r="AE45" s="351"/>
      <c r="AF45" s="351"/>
    </row>
    <row r="46">
      <c r="A46" s="345">
        <v>45.0</v>
      </c>
      <c r="B46" s="354" t="s">
        <v>231</v>
      </c>
      <c r="C46" s="347" t="s">
        <v>1299</v>
      </c>
      <c r="D46" s="347"/>
      <c r="E46" s="348"/>
      <c r="F46" s="348"/>
      <c r="G46" s="348"/>
      <c r="H46" s="348">
        <v>3.104979762E9</v>
      </c>
      <c r="I46" s="349" t="s">
        <v>232</v>
      </c>
      <c r="J46" s="349" t="s">
        <v>233</v>
      </c>
      <c r="K46" s="349" t="s">
        <v>194</v>
      </c>
      <c r="L46" s="370" t="s">
        <v>234</v>
      </c>
      <c r="M46" s="370" t="s">
        <v>235</v>
      </c>
      <c r="N46" s="351"/>
      <c r="O46" s="351"/>
      <c r="P46" s="351"/>
      <c r="Q46" s="351"/>
      <c r="R46" s="351"/>
      <c r="S46" s="351"/>
      <c r="T46" s="351"/>
      <c r="U46" s="351"/>
      <c r="V46" s="351"/>
      <c r="W46" s="351"/>
      <c r="X46" s="351"/>
      <c r="Y46" s="351"/>
      <c r="Z46" s="351"/>
      <c r="AA46" s="351"/>
      <c r="AB46" s="351"/>
      <c r="AC46" s="351"/>
      <c r="AD46" s="351"/>
      <c r="AE46" s="351"/>
      <c r="AF46" s="351"/>
    </row>
    <row r="47">
      <c r="A47" s="352">
        <v>46.0</v>
      </c>
      <c r="B47" s="371" t="s">
        <v>236</v>
      </c>
      <c r="C47" s="347"/>
      <c r="D47" s="347"/>
      <c r="E47" s="348"/>
      <c r="F47" s="348"/>
      <c r="G47" s="348"/>
      <c r="H47" s="348">
        <v>2.164038711E9</v>
      </c>
      <c r="I47" s="349" t="s">
        <v>237</v>
      </c>
      <c r="J47" s="349" t="s">
        <v>238</v>
      </c>
      <c r="K47" s="349" t="s">
        <v>109</v>
      </c>
      <c r="L47" s="362"/>
      <c r="M47" s="362"/>
      <c r="N47" s="351"/>
      <c r="O47" s="351"/>
      <c r="P47" s="351"/>
      <c r="Q47" s="351"/>
      <c r="R47" s="351"/>
      <c r="S47" s="351"/>
      <c r="T47" s="351"/>
      <c r="U47" s="351"/>
      <c r="V47" s="351"/>
      <c r="W47" s="351"/>
      <c r="X47" s="351"/>
      <c r="Y47" s="351"/>
      <c r="Z47" s="351"/>
      <c r="AA47" s="351"/>
      <c r="AB47" s="351"/>
      <c r="AC47" s="351"/>
      <c r="AD47" s="351"/>
      <c r="AE47" s="351"/>
      <c r="AF47" s="351"/>
    </row>
    <row r="48">
      <c r="A48" s="345">
        <v>47.0</v>
      </c>
      <c r="B48" s="346" t="s">
        <v>444</v>
      </c>
      <c r="C48" s="347" t="s">
        <v>1300</v>
      </c>
      <c r="D48" s="347"/>
      <c r="E48" s="348"/>
      <c r="F48" s="348"/>
      <c r="G48" s="348"/>
      <c r="H48" s="348">
        <v>1.6466390964E10</v>
      </c>
      <c r="I48" s="349" t="s">
        <v>493</v>
      </c>
      <c r="J48" s="349" t="s">
        <v>494</v>
      </c>
      <c r="K48" s="349" t="s">
        <v>77</v>
      </c>
      <c r="L48" s="353" t="s">
        <v>495</v>
      </c>
      <c r="M48" s="362"/>
      <c r="N48" s="351"/>
      <c r="O48" s="351"/>
      <c r="P48" s="351"/>
      <c r="Q48" s="351"/>
      <c r="R48" s="351"/>
      <c r="S48" s="351"/>
      <c r="T48" s="351"/>
      <c r="U48" s="351"/>
      <c r="V48" s="351"/>
      <c r="W48" s="351"/>
      <c r="X48" s="351"/>
      <c r="Y48" s="351"/>
      <c r="Z48" s="351"/>
      <c r="AA48" s="351"/>
      <c r="AB48" s="351"/>
      <c r="AC48" s="351"/>
      <c r="AD48" s="351"/>
      <c r="AE48" s="351"/>
      <c r="AF48" s="351"/>
    </row>
    <row r="49">
      <c r="A49" s="352">
        <v>48.0</v>
      </c>
      <c r="B49" s="349" t="s">
        <v>239</v>
      </c>
      <c r="C49" s="347"/>
      <c r="D49" s="347"/>
      <c r="E49" s="348"/>
      <c r="F49" s="348"/>
      <c r="G49" s="348"/>
      <c r="H49" s="348">
        <v>8.655665406E9</v>
      </c>
      <c r="I49" s="349" t="s">
        <v>240</v>
      </c>
      <c r="J49" s="349" t="s">
        <v>241</v>
      </c>
      <c r="K49" s="349" t="s">
        <v>40</v>
      </c>
      <c r="L49" s="350" t="s">
        <v>242</v>
      </c>
      <c r="M49" s="350" t="s">
        <v>243</v>
      </c>
      <c r="N49" s="351"/>
      <c r="O49" s="351"/>
      <c r="P49" s="351"/>
      <c r="Q49" s="351"/>
      <c r="R49" s="351"/>
      <c r="S49" s="351"/>
      <c r="T49" s="351"/>
      <c r="U49" s="351"/>
      <c r="V49" s="351"/>
      <c r="W49" s="351"/>
      <c r="X49" s="351"/>
      <c r="Y49" s="351"/>
      <c r="Z49" s="351"/>
      <c r="AA49" s="351"/>
      <c r="AB49" s="351"/>
      <c r="AC49" s="351"/>
      <c r="AD49" s="351"/>
      <c r="AE49" s="351"/>
      <c r="AF49" s="351"/>
    </row>
    <row r="50">
      <c r="A50" s="345">
        <v>49.0</v>
      </c>
      <c r="B50" s="349" t="s">
        <v>244</v>
      </c>
      <c r="C50" s="347"/>
      <c r="D50" s="347"/>
      <c r="E50" s="348"/>
      <c r="F50" s="348"/>
      <c r="G50" s="348"/>
      <c r="H50" s="348">
        <v>1.3236100065E10</v>
      </c>
      <c r="I50" s="349" t="s">
        <v>245</v>
      </c>
      <c r="J50" s="349" t="s">
        <v>246</v>
      </c>
      <c r="K50" s="349" t="s">
        <v>247</v>
      </c>
      <c r="L50" s="362"/>
      <c r="M50" s="362"/>
      <c r="N50" s="351"/>
      <c r="O50" s="351"/>
      <c r="P50" s="351"/>
      <c r="Q50" s="351"/>
      <c r="R50" s="351"/>
      <c r="S50" s="351"/>
      <c r="T50" s="351"/>
      <c r="U50" s="351"/>
      <c r="V50" s="351"/>
      <c r="W50" s="351"/>
      <c r="X50" s="351"/>
      <c r="Y50" s="351"/>
      <c r="Z50" s="351"/>
      <c r="AA50" s="351"/>
      <c r="AB50" s="351"/>
      <c r="AC50" s="351"/>
      <c r="AD50" s="351"/>
      <c r="AE50" s="351"/>
      <c r="AF50" s="351"/>
    </row>
    <row r="51">
      <c r="A51" s="352">
        <v>50.0</v>
      </c>
      <c r="B51" s="354" t="s">
        <v>248</v>
      </c>
      <c r="C51" s="347" t="s">
        <v>251</v>
      </c>
      <c r="D51" s="347"/>
      <c r="E51" s="348"/>
      <c r="F51" s="348"/>
      <c r="G51" s="348"/>
      <c r="H51" s="348">
        <v>3.102703744E9</v>
      </c>
      <c r="I51" s="349" t="s">
        <v>249</v>
      </c>
      <c r="J51" s="349" t="s">
        <v>250</v>
      </c>
      <c r="K51" s="349" t="s">
        <v>194</v>
      </c>
      <c r="L51" s="350" t="s">
        <v>251</v>
      </c>
      <c r="M51" s="350" t="s">
        <v>535</v>
      </c>
      <c r="N51" s="351"/>
      <c r="O51" s="351"/>
      <c r="P51" s="351"/>
      <c r="Q51" s="351"/>
      <c r="R51" s="351"/>
      <c r="S51" s="351"/>
      <c r="T51" s="351"/>
      <c r="U51" s="351"/>
      <c r="V51" s="351"/>
      <c r="W51" s="351"/>
      <c r="X51" s="351"/>
      <c r="Y51" s="351"/>
      <c r="Z51" s="351"/>
      <c r="AA51" s="351"/>
      <c r="AB51" s="351"/>
      <c r="AC51" s="351"/>
      <c r="AD51" s="351"/>
      <c r="AE51" s="351"/>
      <c r="AF51" s="351"/>
    </row>
    <row r="52">
      <c r="A52" s="345">
        <v>51.0</v>
      </c>
      <c r="B52" s="349" t="s">
        <v>518</v>
      </c>
      <c r="C52" s="347" t="s">
        <v>1301</v>
      </c>
      <c r="D52" s="347"/>
      <c r="E52" s="348"/>
      <c r="F52" s="348"/>
      <c r="G52" s="348"/>
      <c r="H52" s="348">
        <v>3.109805189E9</v>
      </c>
      <c r="I52" s="349" t="s">
        <v>254</v>
      </c>
      <c r="J52" s="349" t="s">
        <v>193</v>
      </c>
      <c r="K52" s="349" t="s">
        <v>194</v>
      </c>
      <c r="L52" s="350" t="s">
        <v>255</v>
      </c>
      <c r="M52" s="350" t="s">
        <v>256</v>
      </c>
      <c r="N52" s="351"/>
      <c r="O52" s="351"/>
      <c r="P52" s="351"/>
      <c r="Q52" s="351"/>
      <c r="R52" s="351"/>
      <c r="S52" s="351"/>
      <c r="T52" s="351"/>
      <c r="U52" s="351"/>
      <c r="V52" s="351"/>
      <c r="W52" s="351"/>
      <c r="X52" s="351"/>
      <c r="Y52" s="351"/>
      <c r="Z52" s="351"/>
      <c r="AA52" s="351"/>
      <c r="AB52" s="351"/>
      <c r="AC52" s="351"/>
      <c r="AD52" s="351"/>
      <c r="AE52" s="351"/>
      <c r="AF52" s="351"/>
    </row>
    <row r="53">
      <c r="A53" s="352">
        <v>52.0</v>
      </c>
      <c r="B53" s="349" t="s">
        <v>257</v>
      </c>
      <c r="C53" s="347"/>
      <c r="D53" s="347"/>
      <c r="E53" s="348"/>
      <c r="F53" s="348"/>
      <c r="G53" s="348"/>
      <c r="H53" s="348">
        <v>1.2032068666E10</v>
      </c>
      <c r="I53" s="349" t="s">
        <v>258</v>
      </c>
      <c r="J53" s="349" t="s">
        <v>83</v>
      </c>
      <c r="K53" s="349" t="s">
        <v>84</v>
      </c>
      <c r="L53" s="362"/>
      <c r="M53" s="362"/>
      <c r="N53" s="351"/>
      <c r="O53" s="351"/>
      <c r="P53" s="351"/>
      <c r="Q53" s="351"/>
      <c r="R53" s="351"/>
      <c r="S53" s="351"/>
      <c r="T53" s="351"/>
      <c r="U53" s="351"/>
      <c r="V53" s="351"/>
      <c r="W53" s="351"/>
      <c r="X53" s="351"/>
      <c r="Y53" s="351"/>
      <c r="Z53" s="351"/>
      <c r="AA53" s="351"/>
      <c r="AB53" s="351"/>
      <c r="AC53" s="351"/>
      <c r="AD53" s="351"/>
      <c r="AE53" s="351"/>
      <c r="AF53" s="351"/>
    </row>
    <row r="54">
      <c r="A54" s="345">
        <v>53.0</v>
      </c>
      <c r="B54" s="349" t="s">
        <v>260</v>
      </c>
      <c r="C54" s="347"/>
      <c r="D54" s="347"/>
      <c r="E54" s="348"/>
      <c r="F54" s="348"/>
      <c r="G54" s="348"/>
      <c r="H54" s="348">
        <v>1.2159012951E10</v>
      </c>
      <c r="I54" s="349" t="s">
        <v>261</v>
      </c>
      <c r="J54" s="349" t="s">
        <v>262</v>
      </c>
      <c r="K54" s="349" t="s">
        <v>70</v>
      </c>
      <c r="L54" s="362"/>
      <c r="M54" s="362"/>
      <c r="N54" s="351"/>
      <c r="O54" s="351"/>
      <c r="P54" s="351"/>
      <c r="Q54" s="351"/>
      <c r="R54" s="351"/>
      <c r="S54" s="351"/>
      <c r="T54" s="351"/>
      <c r="U54" s="351"/>
      <c r="V54" s="351"/>
      <c r="W54" s="351"/>
      <c r="X54" s="351"/>
      <c r="Y54" s="351"/>
      <c r="Z54" s="351"/>
      <c r="AA54" s="351"/>
      <c r="AB54" s="351"/>
      <c r="AC54" s="351"/>
      <c r="AD54" s="351"/>
      <c r="AE54" s="351"/>
      <c r="AF54" s="351"/>
    </row>
    <row r="55">
      <c r="A55" s="352">
        <v>54.0</v>
      </c>
      <c r="B55" s="349" t="s">
        <v>264</v>
      </c>
      <c r="C55" s="347" t="s">
        <v>1302</v>
      </c>
      <c r="D55" s="347"/>
      <c r="E55" s="348"/>
      <c r="F55" s="348"/>
      <c r="G55" s="348"/>
      <c r="H55" s="348">
        <v>4.153023361E9</v>
      </c>
      <c r="I55" s="349" t="s">
        <v>265</v>
      </c>
      <c r="J55" s="349" t="s">
        <v>266</v>
      </c>
      <c r="K55" s="349" t="s">
        <v>194</v>
      </c>
      <c r="L55" s="350" t="s">
        <v>267</v>
      </c>
      <c r="M55" s="350" t="s">
        <v>268</v>
      </c>
      <c r="N55" s="351"/>
      <c r="O55" s="351"/>
      <c r="P55" s="351"/>
      <c r="Q55" s="351"/>
      <c r="R55" s="351"/>
      <c r="S55" s="351"/>
      <c r="T55" s="351"/>
      <c r="U55" s="351"/>
      <c r="V55" s="351"/>
      <c r="W55" s="351"/>
      <c r="X55" s="351"/>
      <c r="Y55" s="351"/>
      <c r="Z55" s="351"/>
      <c r="AA55" s="351"/>
      <c r="AB55" s="351"/>
      <c r="AC55" s="351"/>
      <c r="AD55" s="351"/>
      <c r="AE55" s="351"/>
      <c r="AF55" s="351"/>
    </row>
    <row r="56">
      <c r="A56" s="345">
        <v>55.0</v>
      </c>
      <c r="B56" s="349" t="s">
        <v>269</v>
      </c>
      <c r="C56" s="347"/>
      <c r="D56" s="347"/>
      <c r="E56" s="348"/>
      <c r="F56" s="348"/>
      <c r="G56" s="348"/>
      <c r="H56" s="348">
        <v>4.152500051E9</v>
      </c>
      <c r="I56" s="349" t="s">
        <v>270</v>
      </c>
      <c r="J56" s="349" t="s">
        <v>266</v>
      </c>
      <c r="K56" s="349" t="s">
        <v>194</v>
      </c>
      <c r="L56" s="350" t="s">
        <v>271</v>
      </c>
      <c r="M56" s="350" t="s">
        <v>272</v>
      </c>
      <c r="N56" s="351"/>
      <c r="O56" s="351"/>
      <c r="P56" s="351"/>
      <c r="Q56" s="351"/>
      <c r="R56" s="351"/>
      <c r="S56" s="351"/>
      <c r="T56" s="351"/>
      <c r="U56" s="351"/>
      <c r="V56" s="351"/>
      <c r="W56" s="351"/>
      <c r="X56" s="351"/>
      <c r="Y56" s="351"/>
      <c r="Z56" s="351"/>
      <c r="AA56" s="351"/>
      <c r="AB56" s="351"/>
      <c r="AC56" s="351"/>
      <c r="AD56" s="351"/>
      <c r="AE56" s="351"/>
      <c r="AF56" s="351"/>
    </row>
    <row r="57">
      <c r="A57" s="352">
        <v>56.0</v>
      </c>
      <c r="B57" s="354" t="s">
        <v>273</v>
      </c>
      <c r="C57" s="347"/>
      <c r="D57" s="347"/>
      <c r="E57" s="348"/>
      <c r="F57" s="348"/>
      <c r="G57" s="348"/>
      <c r="H57" s="348">
        <v>9.72585008086E11</v>
      </c>
      <c r="I57" s="349" t="s">
        <v>274</v>
      </c>
      <c r="J57" s="349" t="s">
        <v>233</v>
      </c>
      <c r="K57" s="349" t="s">
        <v>194</v>
      </c>
      <c r="L57" s="362"/>
      <c r="M57" s="362"/>
      <c r="N57" s="351"/>
      <c r="O57" s="351"/>
      <c r="P57" s="351"/>
      <c r="Q57" s="351"/>
      <c r="R57" s="351"/>
      <c r="S57" s="351"/>
      <c r="T57" s="351"/>
      <c r="U57" s="351"/>
      <c r="V57" s="351"/>
      <c r="W57" s="351"/>
      <c r="X57" s="351"/>
      <c r="Y57" s="351"/>
      <c r="Z57" s="351"/>
      <c r="AA57" s="351"/>
      <c r="AB57" s="351"/>
      <c r="AC57" s="351"/>
      <c r="AD57" s="351"/>
      <c r="AE57" s="351"/>
      <c r="AF57" s="351"/>
    </row>
    <row r="58">
      <c r="A58" s="345">
        <v>57.0</v>
      </c>
      <c r="B58" s="354" t="s">
        <v>276</v>
      </c>
      <c r="C58" s="347" t="s">
        <v>1303</v>
      </c>
      <c r="D58" s="347"/>
      <c r="E58" s="348"/>
      <c r="F58" s="348"/>
      <c r="G58" s="348"/>
      <c r="H58" s="348">
        <v>3.1023404E9</v>
      </c>
      <c r="I58" s="349" t="s">
        <v>277</v>
      </c>
      <c r="J58" s="349" t="s">
        <v>233</v>
      </c>
      <c r="K58" s="349" t="s">
        <v>194</v>
      </c>
      <c r="L58" s="353" t="s">
        <v>278</v>
      </c>
      <c r="M58" s="353" t="s">
        <v>279</v>
      </c>
      <c r="N58" s="351"/>
      <c r="O58" s="351"/>
      <c r="P58" s="351"/>
      <c r="Q58" s="351"/>
      <c r="R58" s="351"/>
      <c r="S58" s="351"/>
      <c r="T58" s="351"/>
      <c r="U58" s="351"/>
      <c r="V58" s="351"/>
      <c r="W58" s="351"/>
      <c r="X58" s="351"/>
      <c r="Y58" s="351"/>
      <c r="Z58" s="351"/>
      <c r="AA58" s="351"/>
      <c r="AB58" s="351"/>
      <c r="AC58" s="351"/>
      <c r="AD58" s="351"/>
      <c r="AE58" s="351"/>
      <c r="AF58" s="351"/>
    </row>
    <row r="59">
      <c r="A59" s="352">
        <v>58.0</v>
      </c>
      <c r="B59" s="349" t="s">
        <v>280</v>
      </c>
      <c r="C59" s="347"/>
      <c r="D59" s="347"/>
      <c r="E59" s="348"/>
      <c r="F59" s="348"/>
      <c r="G59" s="348"/>
      <c r="H59" s="348">
        <v>2.164967816E9</v>
      </c>
      <c r="I59" s="349" t="s">
        <v>281</v>
      </c>
      <c r="J59" s="349" t="s">
        <v>238</v>
      </c>
      <c r="K59" s="349" t="s">
        <v>109</v>
      </c>
      <c r="L59" s="350" t="s">
        <v>282</v>
      </c>
      <c r="M59" s="350" t="s">
        <v>283</v>
      </c>
      <c r="N59" s="351"/>
      <c r="O59" s="351"/>
      <c r="P59" s="351"/>
      <c r="Q59" s="351"/>
      <c r="R59" s="351"/>
      <c r="S59" s="351"/>
      <c r="T59" s="351"/>
      <c r="U59" s="351"/>
      <c r="V59" s="351"/>
      <c r="W59" s="351"/>
      <c r="X59" s="351"/>
      <c r="Y59" s="351"/>
      <c r="Z59" s="351"/>
      <c r="AA59" s="351"/>
      <c r="AB59" s="351"/>
      <c r="AC59" s="351"/>
      <c r="AD59" s="351"/>
      <c r="AE59" s="351"/>
      <c r="AF59" s="351"/>
    </row>
    <row r="60">
      <c r="A60" s="345">
        <v>59.0</v>
      </c>
      <c r="B60" s="364" t="s">
        <v>284</v>
      </c>
      <c r="C60" s="366"/>
      <c r="D60" s="366"/>
      <c r="E60" s="359"/>
      <c r="F60" s="359"/>
      <c r="G60" s="359"/>
      <c r="H60" s="359">
        <v>9.173458238E9</v>
      </c>
      <c r="I60" s="349" t="s">
        <v>285</v>
      </c>
      <c r="J60" s="360" t="s">
        <v>286</v>
      </c>
      <c r="K60" s="360" t="s">
        <v>40</v>
      </c>
      <c r="L60" s="362"/>
      <c r="M60" s="362"/>
      <c r="N60" s="351"/>
      <c r="O60" s="351"/>
      <c r="P60" s="351"/>
      <c r="Q60" s="351"/>
      <c r="R60" s="351"/>
      <c r="S60" s="351"/>
      <c r="T60" s="351"/>
      <c r="U60" s="351"/>
      <c r="V60" s="351"/>
      <c r="W60" s="351"/>
      <c r="X60" s="351"/>
      <c r="Y60" s="351"/>
      <c r="Z60" s="351"/>
      <c r="AA60" s="351"/>
      <c r="AB60" s="351"/>
      <c r="AC60" s="351"/>
      <c r="AD60" s="351"/>
      <c r="AE60" s="351"/>
      <c r="AF60" s="351"/>
    </row>
    <row r="61">
      <c r="A61" s="352">
        <v>60.0</v>
      </c>
      <c r="B61" s="372" t="s">
        <v>287</v>
      </c>
      <c r="C61" s="347"/>
      <c r="D61" s="347"/>
      <c r="E61" s="348"/>
      <c r="F61" s="348"/>
      <c r="G61" s="348"/>
      <c r="H61" s="348">
        <v>1.5619010076E10</v>
      </c>
      <c r="I61" s="349" t="s">
        <v>288</v>
      </c>
      <c r="J61" s="349" t="s">
        <v>289</v>
      </c>
      <c r="K61" s="349" t="s">
        <v>40</v>
      </c>
      <c r="L61" s="362"/>
      <c r="M61" s="362"/>
      <c r="N61" s="351"/>
      <c r="O61" s="351"/>
      <c r="P61" s="351"/>
      <c r="Q61" s="351"/>
      <c r="R61" s="351"/>
      <c r="S61" s="351"/>
      <c r="T61" s="351"/>
      <c r="U61" s="351"/>
      <c r="V61" s="351"/>
      <c r="W61" s="351"/>
      <c r="X61" s="351"/>
      <c r="Y61" s="351"/>
      <c r="Z61" s="351"/>
      <c r="AA61" s="351"/>
      <c r="AB61" s="351"/>
      <c r="AC61" s="351"/>
      <c r="AD61" s="351"/>
      <c r="AE61" s="351"/>
      <c r="AF61" s="351"/>
    </row>
    <row r="62">
      <c r="A62" s="345">
        <v>61.0</v>
      </c>
      <c r="B62" s="349" t="s">
        <v>290</v>
      </c>
      <c r="C62" s="347" t="s">
        <v>1304</v>
      </c>
      <c r="D62" s="347"/>
      <c r="E62" s="348"/>
      <c r="F62" s="348"/>
      <c r="G62" s="348"/>
      <c r="H62" s="348">
        <v>5.164246465E9</v>
      </c>
      <c r="I62" s="349" t="s">
        <v>291</v>
      </c>
      <c r="J62" s="349" t="s">
        <v>292</v>
      </c>
      <c r="K62" s="349" t="s">
        <v>105</v>
      </c>
      <c r="L62" s="353" t="s">
        <v>293</v>
      </c>
      <c r="M62" s="353" t="s">
        <v>294</v>
      </c>
    </row>
    <row r="63">
      <c r="A63" s="352">
        <v>62.0</v>
      </c>
      <c r="B63" s="360" t="s">
        <v>295</v>
      </c>
      <c r="C63" s="347"/>
      <c r="D63" s="347"/>
      <c r="E63" s="348"/>
      <c r="F63" s="348"/>
      <c r="G63" s="348"/>
      <c r="H63" s="348">
        <v>3.057945501E9</v>
      </c>
      <c r="I63" s="360" t="s">
        <v>296</v>
      </c>
      <c r="J63" s="360" t="s">
        <v>190</v>
      </c>
      <c r="K63" s="364" t="s">
        <v>40</v>
      </c>
      <c r="L63" s="362"/>
      <c r="M63" s="353" t="s">
        <v>297</v>
      </c>
    </row>
    <row r="64">
      <c r="A64" s="345">
        <v>63.0</v>
      </c>
      <c r="B64" s="349" t="s">
        <v>298</v>
      </c>
      <c r="C64" s="347" t="s">
        <v>1305</v>
      </c>
      <c r="D64" s="347"/>
      <c r="E64" s="348"/>
      <c r="F64" s="348"/>
      <c r="G64" s="348"/>
      <c r="H64" s="348">
        <v>6.175133365E9</v>
      </c>
      <c r="I64" s="349" t="s">
        <v>299</v>
      </c>
      <c r="J64" s="349" t="s">
        <v>300</v>
      </c>
      <c r="K64" s="349" t="s">
        <v>301</v>
      </c>
      <c r="L64" s="350" t="s">
        <v>464</v>
      </c>
      <c r="M64" s="350" t="s">
        <v>540</v>
      </c>
      <c r="N64" s="351"/>
      <c r="O64" s="351"/>
      <c r="P64" s="351"/>
      <c r="Q64" s="351"/>
      <c r="R64" s="351"/>
      <c r="S64" s="351"/>
      <c r="T64" s="351"/>
      <c r="U64" s="351"/>
      <c r="V64" s="351"/>
      <c r="W64" s="351"/>
      <c r="X64" s="351"/>
      <c r="Y64" s="351"/>
      <c r="Z64" s="351"/>
      <c r="AA64" s="351"/>
      <c r="AB64" s="351"/>
      <c r="AC64" s="351"/>
      <c r="AD64" s="351"/>
      <c r="AE64" s="351"/>
      <c r="AF64" s="351"/>
    </row>
    <row r="65">
      <c r="A65" s="352">
        <v>64.0</v>
      </c>
      <c r="B65" s="349" t="s">
        <v>304</v>
      </c>
      <c r="C65" s="347"/>
      <c r="D65" s="347"/>
      <c r="E65" s="348"/>
      <c r="F65" s="348"/>
      <c r="G65" s="348"/>
      <c r="H65" s="348">
        <v>1.4694002838E10</v>
      </c>
      <c r="I65" s="349" t="s">
        <v>305</v>
      </c>
      <c r="J65" s="349" t="s">
        <v>115</v>
      </c>
      <c r="K65" s="349" t="s">
        <v>63</v>
      </c>
      <c r="L65" s="362"/>
      <c r="M65" s="362"/>
      <c r="N65" s="351"/>
      <c r="O65" s="351"/>
      <c r="P65" s="351"/>
      <c r="Q65" s="351"/>
      <c r="R65" s="351"/>
      <c r="S65" s="351"/>
      <c r="T65" s="351"/>
      <c r="U65" s="351"/>
      <c r="V65" s="351"/>
      <c r="W65" s="351"/>
      <c r="X65" s="351"/>
      <c r="Y65" s="351"/>
      <c r="Z65" s="351"/>
      <c r="AA65" s="351"/>
      <c r="AB65" s="351"/>
      <c r="AC65" s="351"/>
      <c r="AD65" s="351"/>
      <c r="AE65" s="351"/>
      <c r="AF65" s="351"/>
    </row>
    <row r="66">
      <c r="A66" s="345">
        <v>65.0</v>
      </c>
      <c r="B66" s="349" t="s">
        <v>306</v>
      </c>
      <c r="C66" s="347"/>
      <c r="D66" s="347"/>
      <c r="E66" s="348"/>
      <c r="F66" s="348"/>
      <c r="G66" s="348"/>
      <c r="H66" s="348">
        <v>4.692237479E9</v>
      </c>
      <c r="I66" s="349" t="s">
        <v>310</v>
      </c>
      <c r="J66" s="349" t="s">
        <v>115</v>
      </c>
      <c r="K66" s="349" t="s">
        <v>63</v>
      </c>
      <c r="L66" s="362"/>
      <c r="M66" s="362"/>
      <c r="N66" s="351"/>
      <c r="O66" s="351"/>
      <c r="P66" s="351"/>
      <c r="Q66" s="351"/>
      <c r="R66" s="351"/>
      <c r="S66" s="351"/>
      <c r="T66" s="351"/>
      <c r="U66" s="351"/>
      <c r="V66" s="351"/>
      <c r="W66" s="351"/>
      <c r="X66" s="351"/>
      <c r="Y66" s="351"/>
      <c r="Z66" s="351"/>
      <c r="AA66" s="351"/>
      <c r="AB66" s="351"/>
      <c r="AC66" s="351"/>
      <c r="AD66" s="351"/>
      <c r="AE66" s="351"/>
      <c r="AF66" s="351"/>
    </row>
    <row r="67">
      <c r="A67" s="352">
        <v>66.0</v>
      </c>
      <c r="B67" s="349" t="s">
        <v>309</v>
      </c>
      <c r="C67" s="347"/>
      <c r="D67" s="347"/>
      <c r="E67" s="348"/>
      <c r="F67" s="348"/>
      <c r="G67" s="348"/>
      <c r="H67" s="348">
        <v>1.2165334908E10</v>
      </c>
      <c r="I67" s="349" t="s">
        <v>307</v>
      </c>
      <c r="J67" s="349" t="s">
        <v>308</v>
      </c>
      <c r="K67" s="349" t="s">
        <v>109</v>
      </c>
      <c r="L67" s="362"/>
      <c r="M67" s="362"/>
    </row>
    <row r="68">
      <c r="A68" s="345">
        <v>67.0</v>
      </c>
      <c r="B68" s="349" t="s">
        <v>311</v>
      </c>
      <c r="C68" s="347" t="s">
        <v>1306</v>
      </c>
      <c r="D68" s="347"/>
      <c r="E68" s="348"/>
      <c r="F68" s="348"/>
      <c r="G68" s="348"/>
      <c r="H68" s="348">
        <v>7.735122029E9</v>
      </c>
      <c r="I68" s="349" t="s">
        <v>312</v>
      </c>
      <c r="J68" s="349" t="s">
        <v>313</v>
      </c>
      <c r="K68" s="349" t="s">
        <v>314</v>
      </c>
      <c r="L68" s="350" t="s">
        <v>315</v>
      </c>
      <c r="M68" s="350" t="s">
        <v>316</v>
      </c>
      <c r="N68" s="351"/>
      <c r="O68" s="351"/>
      <c r="P68" s="351"/>
      <c r="Q68" s="351"/>
      <c r="R68" s="351"/>
      <c r="S68" s="351"/>
      <c r="T68" s="351"/>
      <c r="U68" s="351"/>
      <c r="V68" s="351"/>
      <c r="W68" s="351"/>
      <c r="X68" s="351"/>
      <c r="Y68" s="351"/>
      <c r="Z68" s="351"/>
      <c r="AA68" s="351"/>
      <c r="AB68" s="351"/>
      <c r="AC68" s="351"/>
      <c r="AD68" s="351"/>
      <c r="AE68" s="351"/>
      <c r="AF68" s="351"/>
    </row>
    <row r="69">
      <c r="A69" s="352">
        <v>68.0</v>
      </c>
      <c r="B69" s="356" t="s">
        <v>317</v>
      </c>
      <c r="C69" s="357" t="s">
        <v>1307</v>
      </c>
      <c r="D69" s="366"/>
      <c r="E69" s="359"/>
      <c r="F69" s="359"/>
      <c r="G69" s="359"/>
      <c r="H69" s="359">
        <v>5.165546319E9</v>
      </c>
      <c r="I69" s="349" t="s">
        <v>173</v>
      </c>
      <c r="J69" s="360" t="s">
        <v>174</v>
      </c>
      <c r="K69" s="360" t="s">
        <v>77</v>
      </c>
      <c r="L69" s="353" t="s">
        <v>175</v>
      </c>
      <c r="M69" s="353" t="s">
        <v>516</v>
      </c>
    </row>
    <row r="70">
      <c r="A70" s="345">
        <v>69.0</v>
      </c>
      <c r="B70" s="349" t="s">
        <v>320</v>
      </c>
      <c r="C70" s="347"/>
      <c r="D70" s="347"/>
      <c r="E70" s="348"/>
      <c r="F70" s="348"/>
      <c r="G70" s="348"/>
      <c r="H70" s="348">
        <v>1.8454997713E10</v>
      </c>
      <c r="I70" s="349" t="s">
        <v>321</v>
      </c>
      <c r="J70" s="349" t="s">
        <v>322</v>
      </c>
      <c r="K70" s="349" t="s">
        <v>77</v>
      </c>
      <c r="L70" s="362"/>
      <c r="M70" s="362"/>
      <c r="N70" s="351"/>
      <c r="O70" s="351"/>
      <c r="P70" s="351"/>
      <c r="Q70" s="351"/>
      <c r="R70" s="351"/>
      <c r="S70" s="351"/>
      <c r="T70" s="351"/>
      <c r="U70" s="351"/>
      <c r="V70" s="351"/>
      <c r="W70" s="351"/>
      <c r="X70" s="351"/>
      <c r="Y70" s="351"/>
      <c r="Z70" s="351"/>
      <c r="AA70" s="351"/>
      <c r="AB70" s="351"/>
      <c r="AC70" s="351"/>
      <c r="AD70" s="351"/>
      <c r="AE70" s="351"/>
      <c r="AF70" s="351"/>
    </row>
    <row r="71">
      <c r="A71" s="352">
        <v>70.0</v>
      </c>
      <c r="B71" s="354" t="s">
        <v>323</v>
      </c>
      <c r="C71" s="347"/>
      <c r="D71" s="347"/>
      <c r="E71" s="348"/>
      <c r="F71" s="348"/>
      <c r="G71" s="348"/>
      <c r="H71" s="348">
        <v>3.105954269E9</v>
      </c>
      <c r="I71" s="349" t="s">
        <v>324</v>
      </c>
      <c r="J71" s="349" t="s">
        <v>250</v>
      </c>
      <c r="K71" s="349" t="s">
        <v>194</v>
      </c>
      <c r="L71" s="350" t="s">
        <v>325</v>
      </c>
      <c r="M71" s="350" t="s">
        <v>538</v>
      </c>
      <c r="N71" s="351"/>
      <c r="O71" s="351"/>
      <c r="P71" s="351"/>
      <c r="Q71" s="351"/>
      <c r="R71" s="351"/>
      <c r="S71" s="351"/>
      <c r="T71" s="351"/>
      <c r="U71" s="351"/>
      <c r="V71" s="351"/>
      <c r="W71" s="351"/>
      <c r="X71" s="351"/>
      <c r="Y71" s="351"/>
      <c r="Z71" s="351"/>
      <c r="AA71" s="351"/>
      <c r="AB71" s="351"/>
      <c r="AC71" s="351"/>
      <c r="AD71" s="351"/>
      <c r="AE71" s="351"/>
      <c r="AF71" s="351"/>
    </row>
    <row r="72">
      <c r="A72" s="345">
        <v>71.0</v>
      </c>
      <c r="B72" s="346" t="s">
        <v>327</v>
      </c>
      <c r="C72" s="347" t="s">
        <v>1308</v>
      </c>
      <c r="D72" s="347" t="s">
        <v>1309</v>
      </c>
      <c r="E72" s="348"/>
      <c r="F72" s="348"/>
      <c r="G72" s="348"/>
      <c r="H72" s="348">
        <v>1.91759737E10</v>
      </c>
      <c r="I72" s="349" t="s">
        <v>328</v>
      </c>
      <c r="J72" s="349" t="s">
        <v>329</v>
      </c>
      <c r="K72" s="349" t="s">
        <v>77</v>
      </c>
      <c r="L72" s="353" t="s">
        <v>330</v>
      </c>
      <c r="M72" s="362"/>
    </row>
    <row r="73">
      <c r="A73" s="352">
        <v>72.0</v>
      </c>
      <c r="B73" s="349" t="s">
        <v>331</v>
      </c>
      <c r="C73" s="347"/>
      <c r="D73" s="347"/>
      <c r="E73" s="348"/>
      <c r="F73" s="348"/>
      <c r="G73" s="348"/>
      <c r="H73" s="348">
        <v>1.3107296464E10</v>
      </c>
      <c r="I73" s="349" t="s">
        <v>332</v>
      </c>
      <c r="J73" s="349" t="s">
        <v>250</v>
      </c>
      <c r="K73" s="349" t="s">
        <v>194</v>
      </c>
      <c r="L73" s="362"/>
      <c r="M73" s="362"/>
      <c r="N73" s="351"/>
      <c r="O73" s="351"/>
      <c r="P73" s="351"/>
      <c r="Q73" s="351"/>
      <c r="R73" s="351"/>
      <c r="S73" s="351"/>
      <c r="T73" s="351"/>
      <c r="U73" s="351"/>
      <c r="V73" s="351"/>
      <c r="W73" s="351"/>
      <c r="X73" s="351"/>
      <c r="Y73" s="351"/>
      <c r="Z73" s="351"/>
      <c r="AA73" s="351"/>
      <c r="AB73" s="351"/>
      <c r="AC73" s="351"/>
      <c r="AD73" s="351"/>
      <c r="AE73" s="351"/>
      <c r="AF73" s="351"/>
    </row>
    <row r="74">
      <c r="A74" s="345">
        <v>73.0</v>
      </c>
      <c r="B74" s="360" t="s">
        <v>334</v>
      </c>
      <c r="C74" s="366"/>
      <c r="D74" s="366"/>
      <c r="E74" s="359"/>
      <c r="F74" s="359"/>
      <c r="G74" s="359"/>
      <c r="H74" s="359">
        <v>7.733989585E9</v>
      </c>
      <c r="I74" s="349" t="s">
        <v>335</v>
      </c>
      <c r="J74" s="360" t="s">
        <v>313</v>
      </c>
      <c r="K74" s="360" t="s">
        <v>314</v>
      </c>
      <c r="L74" s="353" t="s">
        <v>336</v>
      </c>
      <c r="M74" s="353" t="s">
        <v>337</v>
      </c>
      <c r="N74" s="351"/>
      <c r="O74" s="351"/>
      <c r="P74" s="351"/>
      <c r="Q74" s="351"/>
      <c r="R74" s="351"/>
      <c r="S74" s="351"/>
      <c r="T74" s="351"/>
      <c r="U74" s="351"/>
      <c r="V74" s="351"/>
      <c r="W74" s="351"/>
      <c r="X74" s="351"/>
      <c r="Y74" s="351"/>
      <c r="Z74" s="351"/>
      <c r="AA74" s="351"/>
      <c r="AB74" s="351"/>
      <c r="AC74" s="351"/>
      <c r="AD74" s="351"/>
      <c r="AE74" s="351"/>
      <c r="AF74" s="351"/>
    </row>
    <row r="75">
      <c r="A75" s="352">
        <v>74.0</v>
      </c>
      <c r="B75" s="373" t="s">
        <v>338</v>
      </c>
      <c r="C75" s="374" t="s">
        <v>1310</v>
      </c>
      <c r="D75" s="375" t="s">
        <v>1311</v>
      </c>
      <c r="E75" s="376"/>
      <c r="F75" s="377"/>
      <c r="G75" s="377"/>
      <c r="H75" s="378">
        <v>1.9546007815E10</v>
      </c>
      <c r="I75" s="368" t="s">
        <v>339</v>
      </c>
      <c r="J75" s="368" t="s">
        <v>340</v>
      </c>
      <c r="K75" s="368" t="s">
        <v>40</v>
      </c>
      <c r="L75" s="379"/>
      <c r="M75" s="380"/>
      <c r="N75" s="351"/>
      <c r="O75" s="351"/>
      <c r="P75" s="351"/>
      <c r="Q75" s="351"/>
      <c r="R75" s="351"/>
      <c r="S75" s="351"/>
      <c r="T75" s="351"/>
      <c r="U75" s="351"/>
      <c r="V75" s="351"/>
      <c r="W75" s="351"/>
      <c r="X75" s="351"/>
      <c r="Y75" s="351"/>
      <c r="Z75" s="351"/>
      <c r="AA75" s="351"/>
      <c r="AB75" s="351"/>
      <c r="AC75" s="351"/>
      <c r="AD75" s="351"/>
      <c r="AE75" s="351"/>
      <c r="AF75" s="351"/>
    </row>
    <row r="76">
      <c r="A76" s="345">
        <v>75.0</v>
      </c>
      <c r="B76" s="346" t="s">
        <v>341</v>
      </c>
      <c r="C76" s="347" t="s">
        <v>1312</v>
      </c>
      <c r="D76" s="347"/>
      <c r="E76" s="348"/>
      <c r="F76" s="348"/>
      <c r="G76" s="348"/>
      <c r="H76" s="348">
        <v>8.18321301E9</v>
      </c>
      <c r="I76" s="349" t="s">
        <v>342</v>
      </c>
      <c r="J76" s="349" t="s">
        <v>343</v>
      </c>
      <c r="K76" s="349" t="s">
        <v>194</v>
      </c>
      <c r="L76" s="355" t="s">
        <v>344</v>
      </c>
      <c r="M76" s="355" t="s">
        <v>345</v>
      </c>
      <c r="N76" s="351"/>
      <c r="O76" s="351"/>
      <c r="P76" s="351"/>
      <c r="Q76" s="351"/>
      <c r="R76" s="351"/>
      <c r="S76" s="351"/>
      <c r="T76" s="351"/>
      <c r="U76" s="351"/>
      <c r="V76" s="351"/>
      <c r="W76" s="351"/>
      <c r="X76" s="351"/>
      <c r="Y76" s="351"/>
      <c r="Z76" s="351"/>
      <c r="AA76" s="351"/>
      <c r="AB76" s="351"/>
      <c r="AC76" s="351"/>
      <c r="AD76" s="351"/>
      <c r="AE76" s="351"/>
      <c r="AF76" s="351"/>
    </row>
    <row r="77">
      <c r="A77" s="352">
        <v>76.0</v>
      </c>
      <c r="B77" s="349" t="s">
        <v>445</v>
      </c>
      <c r="C77" s="347"/>
      <c r="D77" s="347"/>
      <c r="E77" s="348"/>
      <c r="F77" s="348"/>
      <c r="G77" s="348"/>
      <c r="H77" s="348">
        <v>1.9545598595E10</v>
      </c>
      <c r="I77" s="349" t="s">
        <v>543</v>
      </c>
      <c r="J77" s="349" t="s">
        <v>544</v>
      </c>
      <c r="K77" s="349" t="s">
        <v>40</v>
      </c>
      <c r="L77" s="362"/>
      <c r="M77" s="362"/>
      <c r="N77" s="351"/>
      <c r="O77" s="351"/>
      <c r="P77" s="351"/>
      <c r="Q77" s="351"/>
      <c r="R77" s="351"/>
      <c r="S77" s="351"/>
      <c r="T77" s="351"/>
      <c r="U77" s="351"/>
      <c r="V77" s="351"/>
      <c r="W77" s="351"/>
      <c r="X77" s="351"/>
      <c r="Y77" s="351"/>
      <c r="Z77" s="351"/>
      <c r="AA77" s="351"/>
      <c r="AB77" s="351"/>
      <c r="AC77" s="351"/>
      <c r="AD77" s="351"/>
      <c r="AE77" s="351"/>
      <c r="AF77" s="351"/>
    </row>
    <row r="78">
      <c r="A78" s="345">
        <v>77.0</v>
      </c>
      <c r="B78" s="354" t="s">
        <v>346</v>
      </c>
      <c r="C78" s="347"/>
      <c r="D78" s="347"/>
      <c r="E78" s="348"/>
      <c r="F78" s="348"/>
      <c r="G78" s="348"/>
      <c r="H78" s="348">
        <v>9.172703166E9</v>
      </c>
      <c r="I78" s="349" t="s">
        <v>347</v>
      </c>
      <c r="J78" s="349" t="s">
        <v>76</v>
      </c>
      <c r="K78" s="349" t="s">
        <v>77</v>
      </c>
      <c r="L78" s="362"/>
      <c r="M78" s="362"/>
      <c r="N78" s="351"/>
      <c r="O78" s="351"/>
      <c r="P78" s="351"/>
      <c r="Q78" s="351"/>
      <c r="R78" s="351"/>
      <c r="S78" s="351"/>
      <c r="T78" s="351"/>
      <c r="U78" s="351"/>
      <c r="V78" s="351"/>
      <c r="W78" s="351"/>
      <c r="X78" s="351"/>
      <c r="Y78" s="351"/>
      <c r="Z78" s="351"/>
      <c r="AA78" s="351"/>
      <c r="AB78" s="351"/>
      <c r="AC78" s="351"/>
      <c r="AD78" s="351"/>
      <c r="AE78" s="351"/>
      <c r="AF78" s="351"/>
    </row>
    <row r="79">
      <c r="A79" s="352">
        <v>78.0</v>
      </c>
      <c r="B79" s="360" t="s">
        <v>349</v>
      </c>
      <c r="C79" s="366"/>
      <c r="D79" s="366"/>
      <c r="E79" s="359"/>
      <c r="F79" s="359"/>
      <c r="G79" s="359"/>
      <c r="H79" s="359">
        <v>7.1897408E9</v>
      </c>
      <c r="I79" s="349" t="s">
        <v>531</v>
      </c>
      <c r="J79" s="360" t="s">
        <v>89</v>
      </c>
      <c r="K79" s="360" t="s">
        <v>77</v>
      </c>
      <c r="L79" s="362"/>
      <c r="M79" s="362"/>
    </row>
    <row r="80">
      <c r="A80" s="345">
        <v>79.0</v>
      </c>
      <c r="B80" s="381" t="s">
        <v>351</v>
      </c>
      <c r="C80" s="382"/>
      <c r="D80" s="382"/>
      <c r="E80" s="383"/>
      <c r="F80" s="383"/>
      <c r="G80" s="383"/>
      <c r="H80" s="383">
        <v>1.4692237479E10</v>
      </c>
      <c r="I80" s="384" t="s">
        <v>310</v>
      </c>
      <c r="J80" s="381" t="s">
        <v>83</v>
      </c>
      <c r="K80" s="381" t="s">
        <v>84</v>
      </c>
      <c r="L80" s="380"/>
      <c r="M80" s="380"/>
      <c r="N80" s="351"/>
      <c r="O80" s="351"/>
      <c r="P80" s="351"/>
      <c r="Q80" s="351"/>
      <c r="R80" s="351"/>
      <c r="S80" s="351"/>
      <c r="T80" s="351"/>
      <c r="U80" s="351"/>
      <c r="V80" s="351"/>
      <c r="W80" s="351"/>
      <c r="X80" s="351"/>
      <c r="Y80" s="351"/>
      <c r="Z80" s="351"/>
      <c r="AA80" s="351"/>
      <c r="AB80" s="351"/>
      <c r="AC80" s="351"/>
      <c r="AD80" s="351"/>
      <c r="AE80" s="351"/>
      <c r="AF80" s="351"/>
    </row>
    <row r="81">
      <c r="A81" s="352">
        <v>80.0</v>
      </c>
      <c r="B81" s="349" t="s">
        <v>352</v>
      </c>
      <c r="C81" s="347"/>
      <c r="D81" s="347"/>
      <c r="E81" s="348"/>
      <c r="F81" s="348"/>
      <c r="G81" s="348"/>
      <c r="H81" s="348">
        <v>1.4156010152E10</v>
      </c>
      <c r="I81" s="349" t="s">
        <v>353</v>
      </c>
      <c r="J81" s="349" t="s">
        <v>354</v>
      </c>
      <c r="K81" s="349" t="s">
        <v>301</v>
      </c>
      <c r="L81" s="362"/>
      <c r="M81" s="362"/>
      <c r="N81" s="351"/>
      <c r="O81" s="351"/>
      <c r="P81" s="351"/>
      <c r="Q81" s="351"/>
      <c r="R81" s="351"/>
      <c r="S81" s="351"/>
      <c r="T81" s="351"/>
      <c r="U81" s="351"/>
      <c r="V81" s="351"/>
      <c r="W81" s="351"/>
      <c r="X81" s="351"/>
      <c r="Y81" s="351"/>
      <c r="Z81" s="351"/>
      <c r="AA81" s="351"/>
      <c r="AB81" s="351"/>
      <c r="AC81" s="351"/>
      <c r="AD81" s="351"/>
      <c r="AE81" s="351"/>
      <c r="AF81" s="351"/>
    </row>
    <row r="82">
      <c r="A82" s="345">
        <v>81.0</v>
      </c>
      <c r="B82" s="360" t="s">
        <v>355</v>
      </c>
      <c r="C82" s="366"/>
      <c r="D82" s="366"/>
      <c r="E82" s="359"/>
      <c r="F82" s="359"/>
      <c r="G82" s="359"/>
      <c r="H82" s="359">
        <v>3.12890769E9</v>
      </c>
      <c r="I82" s="349" t="s">
        <v>356</v>
      </c>
      <c r="J82" s="360" t="s">
        <v>213</v>
      </c>
      <c r="K82" s="360" t="s">
        <v>40</v>
      </c>
      <c r="L82" s="362"/>
      <c r="M82" s="362"/>
      <c r="N82" s="351"/>
      <c r="O82" s="351"/>
      <c r="P82" s="351"/>
      <c r="Q82" s="351"/>
      <c r="R82" s="351"/>
      <c r="S82" s="351"/>
      <c r="T82" s="351"/>
      <c r="U82" s="351"/>
      <c r="V82" s="351"/>
      <c r="W82" s="351"/>
      <c r="X82" s="351"/>
      <c r="Y82" s="351"/>
      <c r="Z82" s="351"/>
      <c r="AA82" s="351"/>
      <c r="AB82" s="351"/>
      <c r="AC82" s="351"/>
      <c r="AD82" s="351"/>
      <c r="AE82" s="351"/>
      <c r="AF82" s="351"/>
    </row>
    <row r="83">
      <c r="A83" s="352">
        <v>82.0</v>
      </c>
      <c r="B83" s="349" t="s">
        <v>358</v>
      </c>
      <c r="C83" s="347"/>
      <c r="D83" s="347"/>
      <c r="E83" s="348"/>
      <c r="F83" s="348"/>
      <c r="G83" s="348"/>
      <c r="H83" s="348">
        <v>1.2032233407E10</v>
      </c>
      <c r="I83" s="349" t="s">
        <v>359</v>
      </c>
      <c r="J83" s="349" t="s">
        <v>360</v>
      </c>
      <c r="K83" s="349" t="s">
        <v>40</v>
      </c>
      <c r="L83" s="362"/>
      <c r="M83" s="362"/>
    </row>
    <row r="84">
      <c r="A84" s="345">
        <v>83.0</v>
      </c>
      <c r="B84" s="349" t="s">
        <v>361</v>
      </c>
      <c r="C84" s="347"/>
      <c r="D84" s="347"/>
      <c r="E84" s="348"/>
      <c r="F84" s="348"/>
      <c r="G84" s="348"/>
      <c r="H84" s="348">
        <v>1.5168504826E10</v>
      </c>
      <c r="I84" s="349" t="s">
        <v>362</v>
      </c>
      <c r="J84" s="349" t="s">
        <v>363</v>
      </c>
      <c r="K84" s="349" t="s">
        <v>77</v>
      </c>
      <c r="L84" s="362"/>
      <c r="M84" s="362"/>
      <c r="N84" s="351"/>
      <c r="O84" s="351"/>
      <c r="P84" s="351"/>
      <c r="Q84" s="351"/>
      <c r="R84" s="351"/>
      <c r="S84" s="351"/>
      <c r="T84" s="351"/>
      <c r="U84" s="351"/>
      <c r="V84" s="351"/>
      <c r="W84" s="351"/>
      <c r="X84" s="351"/>
      <c r="Y84" s="351"/>
      <c r="Z84" s="351"/>
      <c r="AA84" s="351"/>
      <c r="AB84" s="351"/>
      <c r="AC84" s="351"/>
      <c r="AD84" s="351"/>
      <c r="AE84" s="351"/>
      <c r="AF84" s="351"/>
    </row>
    <row r="85">
      <c r="A85" s="352">
        <v>84.0</v>
      </c>
      <c r="B85" s="349" t="s">
        <v>364</v>
      </c>
      <c r="C85" s="347"/>
      <c r="D85" s="347"/>
      <c r="E85" s="348"/>
      <c r="F85" s="348"/>
      <c r="G85" s="348"/>
      <c r="H85" s="348">
        <v>1.8324827718E10</v>
      </c>
      <c r="I85" s="349" t="s">
        <v>365</v>
      </c>
      <c r="J85" s="349" t="s">
        <v>340</v>
      </c>
      <c r="K85" s="349" t="s">
        <v>40</v>
      </c>
      <c r="L85" s="362"/>
      <c r="M85" s="362"/>
      <c r="N85" s="351"/>
      <c r="O85" s="351"/>
      <c r="P85" s="351"/>
      <c r="Q85" s="351"/>
      <c r="R85" s="351"/>
      <c r="S85" s="351"/>
      <c r="T85" s="351"/>
      <c r="U85" s="351"/>
      <c r="V85" s="351"/>
      <c r="W85" s="351"/>
      <c r="X85" s="351"/>
      <c r="Y85" s="351"/>
      <c r="Z85" s="351"/>
      <c r="AA85" s="351"/>
      <c r="AB85" s="351"/>
      <c r="AC85" s="351"/>
      <c r="AD85" s="351"/>
      <c r="AE85" s="351"/>
      <c r="AF85" s="351"/>
    </row>
    <row r="86">
      <c r="A86" s="345">
        <v>85.0</v>
      </c>
      <c r="B86" s="349" t="s">
        <v>366</v>
      </c>
      <c r="C86" s="347"/>
      <c r="D86" s="347"/>
      <c r="E86" s="348"/>
      <c r="F86" s="348"/>
      <c r="G86" s="348"/>
      <c r="H86" s="348">
        <v>1.4439292809E10</v>
      </c>
      <c r="I86" s="349" t="s">
        <v>367</v>
      </c>
      <c r="J86" s="349" t="s">
        <v>368</v>
      </c>
      <c r="K86" s="349" t="s">
        <v>105</v>
      </c>
      <c r="L86" s="362"/>
      <c r="M86" s="362"/>
      <c r="N86" s="351"/>
      <c r="O86" s="351"/>
      <c r="P86" s="351"/>
      <c r="Q86" s="351"/>
      <c r="R86" s="351"/>
      <c r="S86" s="351"/>
      <c r="T86" s="351"/>
      <c r="U86" s="351"/>
      <c r="V86" s="351"/>
      <c r="W86" s="351"/>
      <c r="X86" s="351"/>
      <c r="Y86" s="351"/>
      <c r="Z86" s="351"/>
      <c r="AA86" s="351"/>
      <c r="AB86" s="351"/>
      <c r="AC86" s="351"/>
      <c r="AD86" s="351"/>
      <c r="AE86" s="351"/>
      <c r="AF86" s="351"/>
    </row>
    <row r="87">
      <c r="A87" s="352">
        <v>86.0</v>
      </c>
      <c r="B87" s="349" t="s">
        <v>369</v>
      </c>
      <c r="C87" s="347"/>
      <c r="D87" s="347"/>
      <c r="E87" s="348"/>
      <c r="F87" s="348"/>
      <c r="G87" s="348"/>
      <c r="H87" s="348">
        <v>6.178339551E9</v>
      </c>
      <c r="I87" s="349" t="s">
        <v>370</v>
      </c>
      <c r="J87" s="349" t="s">
        <v>371</v>
      </c>
      <c r="K87" s="349" t="s">
        <v>301</v>
      </c>
      <c r="L87" s="350" t="s">
        <v>532</v>
      </c>
      <c r="M87" s="355" t="s">
        <v>373</v>
      </c>
      <c r="N87" s="351"/>
      <c r="O87" s="351"/>
      <c r="P87" s="351"/>
      <c r="Q87" s="351"/>
      <c r="R87" s="351"/>
      <c r="S87" s="351"/>
      <c r="T87" s="351"/>
      <c r="U87" s="351"/>
      <c r="V87" s="351"/>
      <c r="W87" s="351"/>
      <c r="X87" s="351"/>
      <c r="Y87" s="351"/>
      <c r="Z87" s="351"/>
      <c r="AA87" s="351"/>
      <c r="AB87" s="351"/>
      <c r="AC87" s="351"/>
      <c r="AD87" s="351"/>
      <c r="AE87" s="351"/>
      <c r="AF87" s="351"/>
    </row>
    <row r="88">
      <c r="A88" s="345">
        <v>87.0</v>
      </c>
      <c r="B88" s="349" t="s">
        <v>375</v>
      </c>
      <c r="C88" s="347" t="s">
        <v>1313</v>
      </c>
      <c r="D88" s="347" t="s">
        <v>1314</v>
      </c>
      <c r="E88" s="348"/>
      <c r="F88" s="348"/>
      <c r="G88" s="348"/>
      <c r="H88" s="348">
        <v>1.3472256064E10</v>
      </c>
      <c r="I88" s="349" t="s">
        <v>376</v>
      </c>
      <c r="J88" s="349" t="s">
        <v>89</v>
      </c>
      <c r="K88" s="349" t="s">
        <v>77</v>
      </c>
      <c r="L88" s="362"/>
      <c r="M88" s="362"/>
      <c r="N88" s="351"/>
      <c r="O88" s="351"/>
      <c r="P88" s="351"/>
      <c r="Q88" s="351"/>
      <c r="R88" s="351"/>
      <c r="S88" s="351"/>
      <c r="T88" s="351"/>
      <c r="U88" s="351"/>
      <c r="V88" s="351"/>
      <c r="W88" s="351"/>
      <c r="X88" s="351"/>
      <c r="Y88" s="351"/>
      <c r="Z88" s="351"/>
      <c r="AA88" s="351"/>
      <c r="AB88" s="351"/>
      <c r="AC88" s="351"/>
      <c r="AD88" s="351"/>
      <c r="AE88" s="351"/>
      <c r="AF88" s="351"/>
    </row>
    <row r="89">
      <c r="A89" s="352">
        <v>88.0</v>
      </c>
      <c r="B89" s="349" t="s">
        <v>377</v>
      </c>
      <c r="C89" s="347"/>
      <c r="D89" s="347"/>
      <c r="E89" s="348"/>
      <c r="F89" s="348"/>
      <c r="G89" s="348"/>
      <c r="H89" s="348">
        <v>1.4434739776E10</v>
      </c>
      <c r="I89" s="349" t="s">
        <v>378</v>
      </c>
      <c r="J89" s="349" t="s">
        <v>233</v>
      </c>
      <c r="K89" s="349" t="s">
        <v>194</v>
      </c>
      <c r="L89" s="362"/>
      <c r="M89" s="362"/>
    </row>
    <row r="90">
      <c r="A90" s="345">
        <v>89.0</v>
      </c>
      <c r="B90" s="349" t="s">
        <v>379</v>
      </c>
      <c r="C90" s="347"/>
      <c r="D90" s="347"/>
      <c r="E90" s="348"/>
      <c r="F90" s="348"/>
      <c r="G90" s="348"/>
      <c r="H90" s="348">
        <v>1.2066502327E10</v>
      </c>
      <c r="I90" s="349" t="s">
        <v>380</v>
      </c>
      <c r="J90" s="349" t="s">
        <v>197</v>
      </c>
      <c r="K90" s="349" t="s">
        <v>198</v>
      </c>
      <c r="L90" s="362"/>
      <c r="M90" s="362"/>
      <c r="N90" s="351"/>
      <c r="O90" s="351"/>
      <c r="P90" s="351"/>
      <c r="Q90" s="351"/>
      <c r="R90" s="351"/>
      <c r="S90" s="351"/>
      <c r="T90" s="351"/>
      <c r="U90" s="351"/>
      <c r="V90" s="351"/>
      <c r="W90" s="351"/>
      <c r="X90" s="351"/>
      <c r="Y90" s="351"/>
      <c r="Z90" s="351"/>
      <c r="AA90" s="351"/>
      <c r="AB90" s="351"/>
      <c r="AC90" s="351"/>
      <c r="AD90" s="351"/>
      <c r="AE90" s="351"/>
      <c r="AF90" s="351"/>
    </row>
    <row r="91">
      <c r="A91" s="352">
        <v>90.0</v>
      </c>
      <c r="B91" s="349" t="s">
        <v>381</v>
      </c>
      <c r="C91" s="347"/>
      <c r="D91" s="347"/>
      <c r="E91" s="348"/>
      <c r="F91" s="348"/>
      <c r="G91" s="348"/>
      <c r="H91" s="348">
        <v>1.5104076728E10</v>
      </c>
      <c r="I91" s="349" t="s">
        <v>563</v>
      </c>
      <c r="J91" s="349" t="s">
        <v>382</v>
      </c>
      <c r="K91" s="349" t="s">
        <v>194</v>
      </c>
      <c r="L91" s="362"/>
      <c r="M91" s="362"/>
    </row>
    <row r="92">
      <c r="A92" s="345">
        <v>91.0</v>
      </c>
      <c r="B92" s="349" t="s">
        <v>383</v>
      </c>
      <c r="C92" s="347" t="s">
        <v>1315</v>
      </c>
      <c r="D92" s="347"/>
      <c r="E92" s="348"/>
      <c r="F92" s="348"/>
      <c r="G92" s="348"/>
      <c r="H92" s="348">
        <v>4.4392961E9</v>
      </c>
      <c r="I92" s="385" t="s">
        <v>384</v>
      </c>
      <c r="J92" s="349" t="s">
        <v>368</v>
      </c>
      <c r="K92" s="349" t="s">
        <v>105</v>
      </c>
      <c r="L92" s="362"/>
      <c r="M92" s="353" t="s">
        <v>385</v>
      </c>
    </row>
    <row r="93">
      <c r="A93" s="352">
        <v>92.0</v>
      </c>
      <c r="B93" s="349" t="s">
        <v>386</v>
      </c>
      <c r="C93" s="347"/>
      <c r="D93" s="347"/>
      <c r="E93" s="348"/>
      <c r="F93" s="348"/>
      <c r="G93" s="348"/>
      <c r="H93" s="348">
        <v>1.5414998563E10</v>
      </c>
      <c r="I93" s="349" t="s">
        <v>387</v>
      </c>
      <c r="J93" s="349" t="s">
        <v>213</v>
      </c>
      <c r="K93" s="349" t="s">
        <v>40</v>
      </c>
      <c r="L93" s="362"/>
      <c r="M93" s="362"/>
      <c r="N93" s="351"/>
      <c r="O93" s="351"/>
      <c r="P93" s="351"/>
      <c r="Q93" s="351"/>
      <c r="R93" s="351"/>
      <c r="S93" s="351"/>
      <c r="T93" s="351"/>
      <c r="U93" s="351"/>
      <c r="V93" s="351"/>
      <c r="W93" s="351"/>
      <c r="X93" s="351"/>
      <c r="Y93" s="351"/>
      <c r="Z93" s="351"/>
      <c r="AA93" s="351"/>
      <c r="AB93" s="351"/>
      <c r="AC93" s="351"/>
      <c r="AD93" s="351"/>
      <c r="AE93" s="351"/>
      <c r="AF93" s="351"/>
    </row>
    <row r="94">
      <c r="A94" s="345">
        <v>93.0</v>
      </c>
      <c r="B94" s="349" t="s">
        <v>388</v>
      </c>
      <c r="C94" s="347"/>
      <c r="D94" s="347"/>
      <c r="E94" s="348"/>
      <c r="F94" s="348"/>
      <c r="G94" s="348"/>
      <c r="H94" s="348">
        <v>1.2016509827E10</v>
      </c>
      <c r="I94" s="349" t="s">
        <v>389</v>
      </c>
      <c r="J94" s="349" t="s">
        <v>390</v>
      </c>
      <c r="K94" s="349" t="s">
        <v>56</v>
      </c>
      <c r="L94" s="362"/>
      <c r="M94" s="362"/>
      <c r="N94" s="351"/>
      <c r="O94" s="351"/>
      <c r="P94" s="351"/>
      <c r="Q94" s="351"/>
      <c r="R94" s="351"/>
      <c r="S94" s="351"/>
      <c r="T94" s="351"/>
      <c r="U94" s="351"/>
      <c r="V94" s="351"/>
      <c r="W94" s="351"/>
      <c r="X94" s="351"/>
      <c r="Y94" s="351"/>
      <c r="Z94" s="351"/>
      <c r="AA94" s="351"/>
      <c r="AB94" s="351"/>
      <c r="AC94" s="351"/>
      <c r="AD94" s="351"/>
      <c r="AE94" s="351"/>
      <c r="AF94" s="351"/>
    </row>
    <row r="95">
      <c r="A95" s="352">
        <v>94.0</v>
      </c>
      <c r="B95" s="349" t="s">
        <v>979</v>
      </c>
      <c r="C95" s="347"/>
      <c r="D95" s="347"/>
      <c r="E95" s="348"/>
      <c r="F95" s="348"/>
      <c r="G95" s="348"/>
      <c r="H95" s="348">
        <v>1.9173458238E10</v>
      </c>
      <c r="I95" s="349" t="s">
        <v>392</v>
      </c>
      <c r="J95" s="349" t="s">
        <v>393</v>
      </c>
      <c r="K95" s="349" t="s">
        <v>40</v>
      </c>
      <c r="L95" s="362"/>
      <c r="M95" s="362"/>
      <c r="N95" s="351"/>
      <c r="O95" s="351"/>
      <c r="P95" s="351"/>
      <c r="Q95" s="351"/>
      <c r="R95" s="351"/>
      <c r="S95" s="351"/>
      <c r="T95" s="351"/>
      <c r="U95" s="351"/>
      <c r="V95" s="351"/>
      <c r="W95" s="351"/>
      <c r="X95" s="351"/>
      <c r="Y95" s="351"/>
      <c r="Z95" s="351"/>
      <c r="AA95" s="351"/>
      <c r="AB95" s="351"/>
      <c r="AC95" s="351"/>
      <c r="AD95" s="351"/>
      <c r="AE95" s="351"/>
      <c r="AF95" s="351"/>
    </row>
    <row r="96">
      <c r="A96" s="345">
        <v>95.0</v>
      </c>
      <c r="B96" s="360" t="s">
        <v>394</v>
      </c>
      <c r="C96" s="357" t="s">
        <v>1316</v>
      </c>
      <c r="D96" s="366"/>
      <c r="E96" s="359"/>
      <c r="F96" s="359"/>
      <c r="G96" s="359"/>
      <c r="H96" s="359">
        <v>3.053315337E9</v>
      </c>
      <c r="I96" s="349" t="s">
        <v>395</v>
      </c>
      <c r="J96" s="349" t="s">
        <v>213</v>
      </c>
      <c r="K96" s="349" t="s">
        <v>40</v>
      </c>
      <c r="L96" s="362"/>
      <c r="M96" s="353" t="s">
        <v>396</v>
      </c>
      <c r="N96" s="351"/>
      <c r="O96" s="351"/>
      <c r="P96" s="351"/>
      <c r="Q96" s="351"/>
      <c r="R96" s="351"/>
      <c r="S96" s="351"/>
      <c r="T96" s="351"/>
      <c r="U96" s="351"/>
      <c r="V96" s="351"/>
      <c r="W96" s="351"/>
      <c r="X96" s="351"/>
      <c r="Y96" s="351"/>
      <c r="Z96" s="351"/>
      <c r="AA96" s="351"/>
      <c r="AB96" s="351"/>
      <c r="AC96" s="351"/>
      <c r="AD96" s="351"/>
      <c r="AE96" s="351"/>
      <c r="AF96" s="351"/>
    </row>
    <row r="97">
      <c r="A97" s="352">
        <v>96.0</v>
      </c>
      <c r="B97" s="349" t="s">
        <v>397</v>
      </c>
      <c r="C97" s="347"/>
      <c r="D97" s="347"/>
      <c r="E97" s="348"/>
      <c r="F97" s="348"/>
      <c r="G97" s="348"/>
      <c r="H97" s="348">
        <v>1.4128530784E10</v>
      </c>
      <c r="I97" s="349" t="s">
        <v>398</v>
      </c>
      <c r="J97" s="349" t="s">
        <v>213</v>
      </c>
      <c r="K97" s="349" t="s">
        <v>40</v>
      </c>
      <c r="L97" s="362"/>
      <c r="M97" s="362"/>
      <c r="N97" s="351"/>
      <c r="O97" s="351"/>
      <c r="P97" s="351"/>
      <c r="Q97" s="351"/>
      <c r="R97" s="351"/>
      <c r="S97" s="351"/>
      <c r="T97" s="351"/>
      <c r="U97" s="351"/>
      <c r="V97" s="351"/>
      <c r="W97" s="351"/>
      <c r="X97" s="351"/>
      <c r="Y97" s="351"/>
      <c r="Z97" s="351"/>
      <c r="AA97" s="351"/>
      <c r="AB97" s="351"/>
      <c r="AC97" s="351"/>
      <c r="AD97" s="351"/>
      <c r="AE97" s="351"/>
      <c r="AF97" s="351"/>
    </row>
    <row r="98">
      <c r="A98" s="345">
        <v>97.0</v>
      </c>
      <c r="B98" s="360" t="s">
        <v>399</v>
      </c>
      <c r="C98" s="366"/>
      <c r="D98" s="366"/>
      <c r="E98" s="359"/>
      <c r="F98" s="359"/>
      <c r="G98" s="359"/>
      <c r="H98" s="359">
        <v>9.139614427E9</v>
      </c>
      <c r="I98" s="349" t="s">
        <v>400</v>
      </c>
      <c r="J98" s="360" t="s">
        <v>401</v>
      </c>
      <c r="K98" s="360" t="s">
        <v>402</v>
      </c>
      <c r="L98" s="353" t="s">
        <v>403</v>
      </c>
      <c r="M98" s="353" t="s">
        <v>404</v>
      </c>
      <c r="N98" s="351"/>
      <c r="O98" s="351"/>
      <c r="P98" s="351"/>
      <c r="Q98" s="351"/>
      <c r="R98" s="351"/>
      <c r="S98" s="351"/>
      <c r="T98" s="351"/>
      <c r="U98" s="351"/>
      <c r="V98" s="351"/>
      <c r="W98" s="351"/>
      <c r="X98" s="351"/>
      <c r="Y98" s="351"/>
      <c r="Z98" s="351"/>
      <c r="AA98" s="351"/>
      <c r="AB98" s="351"/>
      <c r="AC98" s="351"/>
      <c r="AD98" s="351"/>
      <c r="AE98" s="351"/>
      <c r="AF98" s="351"/>
    </row>
    <row r="99">
      <c r="A99" s="352">
        <v>98.0</v>
      </c>
      <c r="B99" s="354" t="s">
        <v>405</v>
      </c>
      <c r="C99" s="347"/>
      <c r="D99" s="347"/>
      <c r="E99" s="348"/>
      <c r="F99" s="348"/>
      <c r="G99" s="348"/>
      <c r="H99" s="348">
        <v>8.478775542E9</v>
      </c>
      <c r="I99" s="349" t="s">
        <v>406</v>
      </c>
      <c r="J99" s="349" t="s">
        <v>407</v>
      </c>
      <c r="K99" s="349" t="s">
        <v>314</v>
      </c>
      <c r="L99" s="353" t="s">
        <v>408</v>
      </c>
      <c r="M99" s="353" t="s">
        <v>546</v>
      </c>
      <c r="N99" s="351"/>
      <c r="O99" s="351"/>
      <c r="P99" s="351"/>
      <c r="Q99" s="351"/>
      <c r="R99" s="351"/>
      <c r="S99" s="351"/>
      <c r="T99" s="351"/>
      <c r="U99" s="351"/>
      <c r="V99" s="351"/>
      <c r="W99" s="351"/>
      <c r="X99" s="351"/>
      <c r="Y99" s="351"/>
      <c r="Z99" s="351"/>
      <c r="AA99" s="351"/>
      <c r="AB99" s="351"/>
      <c r="AC99" s="351"/>
      <c r="AD99" s="351"/>
      <c r="AE99" s="351"/>
      <c r="AF99" s="351"/>
    </row>
    <row r="100">
      <c r="A100" s="345">
        <v>99.0</v>
      </c>
      <c r="B100" s="349" t="s">
        <v>453</v>
      </c>
      <c r="C100" s="347"/>
      <c r="D100" s="347"/>
      <c r="E100" s="348"/>
      <c r="F100" s="348"/>
      <c r="G100" s="348"/>
      <c r="H100" s="348">
        <v>1.3104880959E10</v>
      </c>
      <c r="I100" s="349" t="s">
        <v>569</v>
      </c>
      <c r="J100" s="349" t="s">
        <v>233</v>
      </c>
      <c r="K100" s="349" t="s">
        <v>194</v>
      </c>
      <c r="L100" s="362"/>
      <c r="M100" s="362"/>
      <c r="N100" s="351"/>
      <c r="O100" s="351"/>
      <c r="P100" s="351"/>
      <c r="Q100" s="351"/>
      <c r="R100" s="351"/>
      <c r="S100" s="351"/>
      <c r="T100" s="351"/>
      <c r="U100" s="351"/>
      <c r="V100" s="351"/>
      <c r="W100" s="351"/>
      <c r="X100" s="351"/>
      <c r="Y100" s="351"/>
      <c r="Z100" s="351"/>
      <c r="AA100" s="351"/>
      <c r="AB100" s="351"/>
      <c r="AC100" s="351"/>
      <c r="AD100" s="351"/>
      <c r="AE100" s="351"/>
      <c r="AF100" s="351"/>
    </row>
    <row r="101">
      <c r="A101" s="352">
        <v>100.0</v>
      </c>
      <c r="B101" s="349" t="s">
        <v>410</v>
      </c>
      <c r="C101" s="347"/>
      <c r="D101" s="347"/>
      <c r="E101" s="348"/>
      <c r="F101" s="348"/>
      <c r="G101" s="348"/>
      <c r="H101" s="348">
        <v>1.6178170894E10</v>
      </c>
      <c r="I101" s="349" t="s">
        <v>411</v>
      </c>
      <c r="J101" s="349" t="s">
        <v>412</v>
      </c>
      <c r="K101" s="349" t="s">
        <v>301</v>
      </c>
      <c r="L101" s="362"/>
      <c r="M101" s="362"/>
      <c r="N101" s="351"/>
      <c r="O101" s="351"/>
      <c r="P101" s="351"/>
      <c r="Q101" s="351"/>
      <c r="R101" s="351"/>
      <c r="S101" s="351"/>
      <c r="T101" s="351"/>
      <c r="U101" s="351"/>
      <c r="V101" s="351"/>
      <c r="W101" s="351"/>
      <c r="X101" s="351"/>
      <c r="Y101" s="351"/>
      <c r="Z101" s="351"/>
      <c r="AA101" s="351"/>
      <c r="AB101" s="351"/>
      <c r="AC101" s="351"/>
      <c r="AD101" s="351"/>
      <c r="AE101" s="351"/>
      <c r="AF101" s="351"/>
    </row>
    <row r="102">
      <c r="A102" s="161">
        <v>160.0</v>
      </c>
      <c r="B102" s="386" t="s">
        <v>724</v>
      </c>
      <c r="C102" s="166" t="s">
        <v>1317</v>
      </c>
      <c r="D102" s="251"/>
      <c r="E102" s="166" t="s">
        <v>414</v>
      </c>
      <c r="F102" s="166" t="s">
        <v>60</v>
      </c>
      <c r="G102" s="166" t="s">
        <v>37</v>
      </c>
      <c r="H102" s="165" t="b">
        <v>0</v>
      </c>
      <c r="I102" s="162" t="s">
        <v>1318</v>
      </c>
      <c r="J102" s="162" t="s">
        <v>725</v>
      </c>
      <c r="K102" s="162" t="s">
        <v>726</v>
      </c>
      <c r="L102" s="162" t="s">
        <v>77</v>
      </c>
      <c r="M102" s="387"/>
      <c r="N102" s="388"/>
    </row>
  </sheetData>
  <dataValidations>
    <dataValidation type="list" allowBlank="1" sqref="C102">
      <formula1>"David,Tuly,Darren,Rachael,Shlomo"</formula1>
    </dataValidation>
    <dataValidation type="list" allowBlank="1" sqref="F102">
      <formula1>"Male,Female"</formula1>
    </dataValidation>
    <dataValidation allowBlank="1" showDropDown="1" sqref="B2:B102 M2:M102"/>
    <dataValidation type="list" allowBlank="1" sqref="D102">
      <formula1>"Indicated Interest,Still Need to Gauge Interest,Interviewing,Decision needed,Complete,Not Viable Candidate,Left Voicemail"</formula1>
    </dataValidation>
    <dataValidation type="list" allowBlank="1" sqref="E102">
      <formula1>"Delegate,Ambassador"</formula1>
    </dataValidation>
    <dataValidation type="custom" allowBlank="1" showDropDown="1" sqref="A2:A102 H2:H102">
      <formula1>AND(ISNUMBER(A2),(NOT(OR(NOT(ISERROR(DATEVALUE(A2))), AND(ISNUMBER(A2), LEFT(CELL("format", A2))="D")))))</formula1>
    </dataValidation>
    <dataValidation allowBlank="1" showDropDown="1" sqref="I2:L102"/>
    <dataValidation type="list" allowBlank="1" sqref="G102">
      <formula1>"35 and under,Over 35"</formula1>
    </dataValidation>
  </dataValidations>
  <drawing r:id="rId1"/>
  <tableParts count="1">
    <tablePart r:id="rId3"/>
  </tableParts>
</worksheet>
</file>